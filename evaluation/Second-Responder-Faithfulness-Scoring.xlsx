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Test Cases" sheetId="3" r:id="rId3"/>
    <sheet name="Responses" sheetId="4" r:id="rId4"/>
    <sheet name="Claim Review" sheetId="5" r:id="rId5"/>
    <sheet name="Runbook Reference" sheetId="6" r:id="rId6"/>
    <sheet name="Worked Example" sheetId="7" r:id="rId7"/>
  </sheets>
  <definedNames>
    <definedName name="_xlnm.Print_Area" localSheetId="1">Dashboard!$A$1:$F$29</definedName>
    <definedName name="_xlnm.Print_Area" localSheetId="0">'Start Here'!$A$1:$F$44</definedName>
    <definedName name="_xlnm.Print_Area" localSheetId="6">'Worked Example'!$A$1:$F$15</definedName>
    <definedName name="_xlnm.Print_Titles" localSheetId="4">'Claim Review'!$1:$5</definedName>
    <definedName name="_xlnm.Print_Titles" localSheetId="3">Responses!$1:$5</definedName>
    <definedName name="_xlnm.Print_Titles" localSheetId="5">'Runbook Reference'!$1:$5</definedName>
    <definedName name="_xlnm.Print_Titles" localSheetId="2">'Test Cases'!$1:$5</definedName>
  </definedNames>
  <calcPr calcId="124519" fullCalcOnLoad="1"/>
</workbook>
</file>

<file path=xl/sharedStrings.xml><?xml version="1.0" encoding="utf-8"?>
<sst xmlns="http://schemas.openxmlformats.org/spreadsheetml/2006/main" count="420" uniqueCount="275">
  <si>
    <t>Second Responder | Evaluation workbook</t>
  </si>
  <si>
    <t>20 starter cases across 12 runbooks. No chatbot answers or scores are pre-filled. Blue text = editable input; gray cells = formulas.</t>
  </si>
  <si>
    <t>1  Review the test cases</t>
  </si>
  <si>
    <t>Open Test Cases. Confirm the expected behavior with the runbook owner before testing. All starter cases are Development; add representative unseen Held-out cases for final assessment.</t>
  </si>
  <si>
    <t>2  Run a question in n8n</t>
  </si>
  <si>
    <t>Use the existing chat workflow. In Responses, use its pre-filled Run ID and Test ID, paste Format Evidence output into Retrieved evidence, and paste the actual LLM answer into Answer.</t>
  </si>
  <si>
    <t>3  Record the outcome</t>
  </si>
  <si>
    <t>Choose Answered, Clarification, Abstained, or Error. Set Response appropriate? by comparing with the expected behavior: useful and sufficient for answerable cases, or a justified clarification/abstention for unsupported cases.</t>
  </si>
  <si>
    <t>4  Review every atomic claim</t>
  </si>
  <si>
    <t>In Claim Review, add one row per factual claim, using the matching Run ID. Separate commands, conditions, thresholds, and escalation rules. Keep an action connected to its prerequisite. Paste the exact supporting excerpt from the evidence actually retrieved for this run.</t>
  </si>
  <si>
    <t>5  Complete the verdicts</t>
  </si>
  <si>
    <t>Faithfulness verdict: Supported, Unsupported, or Contradicted. Citation verdict: Supported, Wrong citation, or Missing citation. A claim can be supported somewhere in context but have a wrong citation. Set Critical error? to Yes for an unsupported command, remediation condition, or escalation threshold. Enter your reviewer name.</t>
  </si>
  <si>
    <t>6  Confirm coverage of the answer</t>
  </si>
  <si>
    <t>In Responses, set Claim inventory complete? to Yes only after checking that every factual claim was listed. Mark this even for a genuine zero-claim clarification. Enter the response reviewer. Incomplete reviews receive no score.</t>
  </si>
  <si>
    <t>7  Read the dashboard</t>
  </si>
  <si>
    <t>Faithfulness = supported claims / all claims, calculated only after the review is complete. The headline is the mean of scored responses. Claim-free responses are N/A and excluded; outcome and appropriateness counts are shown separately to prevent abstention from hiding poor usefulness.</t>
  </si>
  <si>
    <t>8  Iterate and reserve a final test set</t>
  </si>
  <si>
    <t>Fix Development failures, then assess untouched Held-out questions. Use a fresh Run ID when retesting. Filter Responses by model/prompt/corpus version for fair comparisons. Dashboard aggregates every recorded run and is not a confidence guarantee.</t>
  </si>
  <si>
    <t>What PASS means</t>
  </si>
  <si>
    <t>A reviewed response is appropriate, has no citation errors or critical operational errors, and reaches the target if it contains claims. This is a manual-review result on this example, not proof of future behavior or confirmation that the runbook itself is operationally correct.</t>
  </si>
  <si>
    <t>Scoring scope</t>
  </si>
  <si>
    <t>Grade only against the saved retrieved context, not general model knowledge or runbooks absent from that context. Supporting a claim somewhere in the corpus is insufficient. If a runbook changes, retain the old retrieved evidence and corpus version for reproducibility.</t>
  </si>
  <si>
    <t>Using Google Sheets</t>
  </si>
  <si>
    <t>Upload the .xlsx to Google Drive, open it with Google Sheets, and optionally save as Google Sheets. The workbook uses standard formulas. Check the Worked Example after import; formatting and table filters may differ.</t>
  </si>
  <si>
    <t>Capacity and reference data</t>
  </si>
  <si>
    <t>Prepared for 200 cases, 200 response runs, and 2,000 claim rows. Stay inside these prepared rows; extending beyond them requires extending formulas and summary ranges. Runbook Reference contains local snapshots and file blob SHAs, not commit SHAs. GitHub links point to main and may change.</t>
  </si>
  <si>
    <t>Ragas: faithfulness definition</t>
  </si>
  <si>
    <t>Evaluation best practices</t>
  </si>
  <si>
    <t>Test cases | Define expected behavior first</t>
  </si>
  <si>
    <t>Starter expectations are drawn from local runbook snapshots. All 20 cases are Development. Add unseen cases and label them Held-out before final assessment.</t>
  </si>
  <si>
    <t>Test ID</t>
  </si>
  <si>
    <t>Split</t>
  </si>
  <si>
    <t>Category</t>
  </si>
  <si>
    <t>Service</t>
  </si>
  <si>
    <t>Question</t>
  </si>
  <si>
    <t>Expected outcome</t>
  </si>
  <si>
    <t>Expected runbooks</t>
  </si>
  <si>
    <t>Expected key points / source wording</t>
  </si>
  <si>
    <t>Source URL</t>
  </si>
  <si>
    <t>Reviewer notes</t>
  </si>
  <si>
    <t>T001</t>
  </si>
  <si>
    <t>Development</t>
  </si>
  <si>
    <t>Baseline</t>
  </si>
  <si>
    <t>payments-api</t>
  </si>
  <si>
    <t>payments-api /charge returns 5xx errors and Stripe requests time out. What should I check, what conditional remediation applies, and when should I escalate?</t>
  </si>
  <si>
    <t>Answered</t>
  </si>
  <si>
    <t>RB-001</t>
  </si>
  <si>
    <t xml:space="preserve">**Service:** payments-api | **Owner:** payments team | **Typical severity:** SEV2 (SEV1 if &gt;50% of charges failing)
## Symptoms
- Alert: "payments-api 5xx rate above 5% for 5 minutes"
- Logs show "502 upstream prematurely closed connection" and "stripe request timeout after 3000ms"
- Checkout failures rise in proportion to the error rate
## First checks
1. `kubectl rollout status deploy/payments-api -n prod` and `kubectl get pods -n prod -l app=payments-api`
2. Was there a deploy in the last 30 minutes? Check the deploy feed first.
3. Check status.stripe.com for an active Stripe incident.
4. Look at the orders DB connection pool (see RB-009 if saturated).
## Diagnosis
- Errors started within 10 minutes of a deploy: assume bad release until proven otherwise.
- Only /charge failing and Stripe status degraded: downstream provider issue, not us.
- 503s with "no healthy upstream": connection pool or target pod problem.
## Remediation
1. Bad deploy: `kubectl rollout undo deploy/payments-api -n prod`
2. Stripe degraded: enable queued-charge mode (`payments.queue_mode=true`) so charges retry asynchronously instead of failing at checkout.
3. Pool saturation: follow RB-009.
## Escalation
Escalate to the payments on-call lead if the error rate is above 20% or not resolved within 15 minutes. Declare SEV1 if more than 50% of charges are failing.
## After resolution
Confirm the error rate stays below 0.5% for 15 minutes before closing the incident.
</t>
  </si>
  <si>
    <t>https://github.com/mahesh-ai-architect/Second-Responder/blob/main/runbooks/RB-001-payments-api-5xx.md</t>
  </si>
  <si>
    <t>Engineer should verify service relevance, conditions, and required steps. Add RB-009 to expected sources if detailed pool remediation is requested across runbooks.</t>
  </si>
  <si>
    <t>T002</t>
  </si>
  <si>
    <t>The webhooks-inbound queue is above 10,000 and rising, with delivery failures going to the DLQ. What should I check, how should I recover, and when should I escalate?</t>
  </si>
  <si>
    <t>RB-002</t>
  </si>
  <si>
    <t xml:space="preserve">**Service:** payments-api | **Owner:** payments team | **Typical severity:** SEV3 (SEV2 if backlog &gt; 50,000)
## Symptoms
- Queue "webhooks-inbound" depth above 10,000 and rising
- Consumer lag growing; downstream order and inventory states go stale
- Logs show "delivery attempt 8 failed, moving to DLQ"
## First checks
1. `kubectl get pods -n prod -l app=webhook-consumer` - look for CrashLoopBackOff
2. Check whether the same message_id is stuck at the head of the queue (poison message)
3. Check the downstream endpoint's own error rate
## Diagnosis
- Consumer crash-looping: usually a bad deploy or a config change.
- One message retried forever: poison message blocking the partition.
- Downstream endpoint returning 500s: fix the downstream service first, not the consumer.
## Remediation
1. Fix or roll back the consumer deploy.
2. Move the poison message to the DLQ manually, note its message_id in the incident timeline.
3. Scale consumers: `kubectl scale deploy/webhook-consumer -n prod --replicas=6`
4. Replay the DLQ only after the root cause is fixed. Webhook handlers are idempotent on event_id - verify the consumer checks event_id before replaying.
## Escalation
SEV2 if the backlog exceeds 50,000 or customer-visible order states are wrong.
</t>
  </si>
  <si>
    <t>https://github.com/mahesh-ai-architect/Second-Responder/blob/main/runbooks/RB-002-payments-api-webhook-backlog.md</t>
  </si>
  <si>
    <t>T003</t>
  </si>
  <si>
    <t>auth-service</t>
  </si>
  <si>
    <t>SSO login success is below 90%, with SAML signature validation failures. What should I check, what remediation applies, and when should I escalate?</t>
  </si>
  <si>
    <t>RB-003</t>
  </si>
  <si>
    <t xml:space="preserve">**Service:** auth-service | **Owner:** identity team | **Typical severity:** SEV1 if all SSO logins fail
## Symptoms
- Login success rate below 90%
- Errors: "SAML signature validation failed" and "OIDC discovery document fetch failed"
## First checks
1. Fetch the IdP discovery document: `curl https://idp.example.com/.well-known/openid-configuration`
2. Compare the IdP signing certificate fingerprint against the configured metadata.
3. Check node clock drift: `chronyc tracking` - drift above 30 seconds breaks token validation.
## Diagnosis
- Most common cause: the IdP rotated its signing certificate and our cached metadata is stale.
- Discovery fetch failing: IdP outage or a network/DNS change on our side.
- Signature failures plus clock drift: fix NTP before touching metadata.
## Remediation
1. Refresh IdP metadata from the admin console: Identity Providers -&gt; Reload metadata.
2. Clear cached keys: `kubectl rollout restart deploy/auth-service -n prod`
3. If the IdP is down, post the status page notice and wait - do not bypass signature checks.
## Escalation
SEV1 if all SSO logins are failing (workforce lockout). Page the identity on-call lead immediately.
</t>
  </si>
  <si>
    <t>https://github.com/mahesh-ai-architect/Second-Responder/blob/main/runbooks/RB-003-auth-service-sso-failures.md</t>
  </si>
  <si>
    <t>T004</t>
  </si>
  <si>
    <t>Users are not receiving MFA push prompts and approval latency exceeds 60 seconds. What should I check, what workaround applies, and when should I escalate?</t>
  </si>
  <si>
    <t>RB-004</t>
  </si>
  <si>
    <t xml:space="preserve">**Service:** auth-service | **Owner:** identity team | **Typical severity:** SEV3 (SEV2 if &gt;30 minutes)
## Symptoms
- Push approval latency above 60 seconds, or failures with "push token revoked"
- Users report not receiving MFA prompts
## First checks
1. Check the push vendor status page (APNs/FCM relay provider).
2. Token revocation rate split by platform: iOS vs Android.
3. Confirm TOTP (authenticator app) logins are unaffected.
## Diagnosis
- One platform only: platform gateway or vendor-side issue.
- Both platforms: our notification service or vendor account throttling.
## Remediation
1. Advise users to fall back to authenticator app (TOTP) codes - use the comms template in the incident channel.
2. If single-platform, open a vendor ticket with sample device tokens and timestamps.
3. Never disable or weaken MFA to "fix" delivery problems.
## Escalation
Identity lead plus a vendor P1 ticket if degradation lasts more than 30 minutes or blocks a SEV1/SEV2 response.
</t>
  </si>
  <si>
    <t>https://github.com/mahesh-ai-architect/Second-Responder/blob/main/runbooks/RB-004-auth-service-mfa-push.md</t>
  </si>
  <si>
    <t>T005</t>
  </si>
  <si>
    <t>search</t>
  </si>
  <si>
    <t>The indexer-nightly job is stalled and logs show mapper_parsing_exception. What should I check, how should I recover, and when should I escalate?</t>
  </si>
  <si>
    <t>RB-005</t>
  </si>
  <si>
    <t xml:space="preserve">**Service:** search | **Owner:** platform team | **Typical severity:** SEV3 (SEV2 if customer-facing results stale &gt; 2 hours)
## Symptoms
- Nightly job "indexer-nightly" stuck, shard progress frozen
- Error "mapper_parsing_exception" in indexer logs, or a data node above 85% disk
## First checks
1. Disk usage per data node; indexing halts at the high watermark.
2. Indexer logs for "mapper_parsing_exception" - a field arrived with a conflicting type.
3. GC pause times on data nodes.
## Diagnosis
- Disk above watermark: snapshots or old indices consuming space.
- Mapping exception: a producer started sending a field with a new type.
- Progress frozen with healthy disk: long GC or a hung shard task.
## Remediation
1. Delete snapshots beyond retention; delete closed indices older than 90 days.
2. Fix the mapping for the offending field, or route that field to a quarantine index.
3. Resume the job from its checkpoint: `indexer-nightly --resume-from-shard`
4. If users also report worse results, check the last search deploy for analyzer changes before blaming the index.
## Escalation
Platform on-call lead if customer-facing search results are stale for more than 2 hours.
</t>
  </si>
  <si>
    <t>https://github.com/mahesh-ai-architect/Second-Responder/blob/main/runbooks/RB-005-search-index-rebuild.md</t>
  </si>
  <si>
    <t>T006</t>
  </si>
  <si>
    <t>checkout</t>
  </si>
  <si>
    <t>Checkout p99 is above 2.5 seconds after a deploy and promo validation dominates traces. What should I check, what remediation applies, and how should I verify recovery?</t>
  </si>
  <si>
    <t>RB-006</t>
  </si>
  <si>
    <t xml:space="preserve">**Service:** checkout | **Owner:** growth team | **Typical severity:** SEV2 if conversion impact confirmed
## Symptoms
- Checkout p99 latency above 2.5s against a 900ms baseline
- APM traces show time concentrated in promo validation or the inventory call
## First checks
1. APM waterfall for a slow trace: which span eats the time?
2. Was "checkout_v2" enabled in the last deploy?
3. Check for N+1 query patterns in cart service database calls.
## Diagnosis
- Promo validation called synchronously per cart item: known regression pattern from the v2 flag.
- Cache bypass header set by the new frontend build: every request hits origin services.
- DB time dominant: hand off to RB-009.
## Remediation
1. Disable the flag: `checkout_v2=false` - instant rollback, no deploy needed.
2. Enable async promo validation: `promo.async_validation=true`
3. Verify p99 below 1.2s for 10 minutes before closing.
## Escalation
Growth team lead. SEV2 if analytics confirms a conversion drop.
</t>
  </si>
  <si>
    <t>https://github.com/mahesh-ai-architect/Second-Responder/blob/main/runbooks/RB-006-checkout-latency.md</t>
  </si>
  <si>
    <t>T007</t>
  </si>
  <si>
    <t>notifications</t>
  </si>
  <si>
    <t>Email queues are backing up and the provider returns 429 provider rate limit exceeded. What should I check, what remediation applies, and when should I escalate?</t>
  </si>
  <si>
    <t>RB-007</t>
  </si>
  <si>
    <t xml:space="preserve">**Service:** notifications | **Owner:** platform team | **Typical severity:** SEV3 (SEV2 if OTP/password-reset mail delayed &gt; 15 min)
## Symptoms
- Email queue depth rising, send latency above 10 minutes
- Provider returns "429 provider rate limit exceeded"
## First checks
1. Split queue depth: transactional vs marketing. A campaign burst sharing the queue is the usual cause.
2. Worker replica count vs the autoscaling cap.
3. Provider rate limit status for our account.
## Diagnosis
- Marketing burst: a campaign send flooded the shared queue.
- Workers at cap with steady traffic: genuine capacity ceiling.
- 429s at low volume: provider-side throttling or account limit change.
## Remediation
1. Prioritize the "notifications-transactional" queue - OTP and password resets go first.
2. Raise worker replicas up to the max of 20.
3. Pause campaign sends: `campaigns.paused=true`
4. Never drop transactional messages to clear a backlog.
## Escalation
If password-reset or OTP mail is delayed more than 15 minutes this becomes auth-impacting - raise to SEV2 and cross-reference RB-004.
</t>
  </si>
  <si>
    <t>https://github.com/mahesh-ai-architect/Second-Responder/blob/main/runbooks/RB-007-notifications-queue-backlog.md</t>
  </si>
  <si>
    <t>T008</t>
  </si>
  <si>
    <t>database-primary</t>
  </si>
  <si>
    <t>Replica lag is above 30 seconds and climbing while a backfill runs. What should I check, what remediation conditions apply, and when should I escalate?</t>
  </si>
  <si>
    <t>RB-008</t>
  </si>
  <si>
    <t xml:space="preserve">**Service:** database-primary | **Owner:** platform (DB) team | **Typical severity:** SEV2 (SEV1 if lag &gt; 300s with unhealthy primary)
## Symptoms
- Replica lag above 30 seconds and climbing in pg_stat_replication
- Read-your-write complaints from application teams
## First checks
1. `SELECT pid, application_name, now() - xact_start AS xact_age FROM pg_stat_activity ORDER BY xact_age DESC;`
2. Identify bulk jobs by application_name - backfills are the usual blocker.
3. Replica disk I/O utilisation.
## Diagnosis
- One long transaction on the primary: replica replay is blocked behind it.
- Backfill job running during peak: contention, not failure.
- Replica disk saturated: replay cannot keep up even with a healthy primary.
## Remediation
1. With incident commander approval, terminate the blocking backfill: `SELECT pg_terminate_backend(&lt;pid&gt;);`
2. Throttle or pause batch jobs until lag drains below 5 seconds.
3. Controlled failover only if the primary is genuinely failing AND lag is under 10 seconds.
4. Never promote a replica with lag above 300 seconds without data-loss sign-off from the DB lead.
## Escalation
SEV1 if lag exceeds 300 seconds with an unhealthy primary. Page the DB lead.
</t>
  </si>
  <si>
    <t>https://github.com/mahesh-ai-architect/Second-Responder/blob/main/runbooks/RB-008-database-replication-lag.md</t>
  </si>
  <si>
    <t>T009</t>
  </si>
  <si>
    <t>The orders database connection pool is saturated and requests are failing. What should I check first, what remediation should I follow, and when should I escalate?</t>
  </si>
  <si>
    <t>RB-009</t>
  </si>
  <si>
    <t xml:space="preserve">**Service:** database-primary | **Owner:** platform (DB) team | **Typical severity:** SEV2
## Symptoms
- Application errors: "FATAL: remaining connection slots are reserved for non-replication superuser connections"
- PgBouncer client wait queue growing
## First checks
1. `SELECT application_name, state, count(*) FROM pg_stat_activity GROUP BY 1, 2 ORDER BY 3 DESC;`
2. PgBouncer: `SHOW POOLS;` - look at cl_waiting.
3. Sessions stuck in "idle in transaction" point at a leaking deploy.
## Diagnosis
- One application_name dominating with idle-in-transaction sessions: connection leak in a recent deploy.
- All apps up evenly: genuine load growth or a batch job.
- Pooler queue up but DB sessions low: pool size misconfigured after a deploy.
## Remediation
1. Restart the pooler to clear leaked sessions: `systemctl restart pgbouncer`
2. Roll back the leaking deploy; the leak, not the pool size, is the bug.
3. Temporary pool_size increase of 25% is allowed only if DB CPU is below 60%.
## Escalation
DB lead if it recurs twice in 24 hours - that is a leak hunt, treat as SEV2.
</t>
  </si>
  <si>
    <t>https://github.com/mahesh-ai-architect/Second-Responder/blob/main/runbooks/RB-009-database-connection-pool.md</t>
  </si>
  <si>
    <t>T010</t>
  </si>
  <si>
    <t>cdn-edge</t>
  </si>
  <si>
    <t>CDN cache hit ratio dropped below 70%, origin traffic tripled, and edge 503s appeared after a config push. What should I check and do?</t>
  </si>
  <si>
    <t>RB-010</t>
  </si>
  <si>
    <t xml:space="preserve">**Service:** cdn-edge | **Owner:** platform team | **Typical severity:** SEV2 if origin is saturating
## Symptoms
- Cache hit ratio below 70% against a 92% baseline
- Origin traffic roughly 3x normal; scattered 503s by POP after a config push
## First checks
1. Hit ratio split by POP and by path - global or localized?
2. Was there a CDN config push or a full purge in the last hour?
3. Origin response codes and origin CPU.
## Diagnosis
- Cache key changed to include the session cookie: every user becomes a unique cache entry.
- Full purge during peak: self-inflicted origin stampede.
- One POP only: bad config version on that POP or an origin shield misroute.
## Remediation
1. Roll back the CDN config to the previous known-good version.
2. Enable origin shield and request coalescing to protect the origin.
3. Re-warm the top 500 URLs after rollback.
4. Disable scheduled purges until the root cause is confirmed.
## Escalation
SEV2 if the origin is saturating. Protect the origin first, investigate second.
</t>
  </si>
  <si>
    <t>https://github.com/mahesh-ai-architect/Second-Responder/blob/main/runbooks/RB-010-cdn-edge-503.md</t>
  </si>
  <si>
    <t>T011</t>
  </si>
  <si>
    <t>inventory</t>
  </si>
  <si>
    <t>Stock sync is failing with deadlock detected on sku_locks and oversell alerts are active. What should I check, how should I recover, and who should I notify?</t>
  </si>
  <si>
    <t>RB-011</t>
  </si>
  <si>
    <t xml:space="preserve">**Service:** inventory | **Owner:** growth team | **Typical severity:** SEV2 while oversell is active
## Symptoms
- Stock sync job failing; oversell alerts on high-velocity SKUs
- Errors: "deadlock detected on sku_locks", or the feed file is missing the column "warehouse_id"
## First checks
1. Is more than one sync run executing at once? Overlapping runs deadlock each other.
2. Diff the latest warehouse feed file against the expected schema.
3. Check whether the batch repricing job is running concurrently.
## Diagnosis
- Missing "warehouse_id" column: the warehouse changed the feed schema without notice.
- Deadlocks with overlapping runs: scheduling collision, not bad data.
- Deadlocks with repricing: lock ordering conflict between the two jobs.
## Remediation
1. Stop extra sync runs; rerun a single sync in idempotent reconcile mode: `stock-sync --mode=reconcile`
2. Reconcile counts for affected SKUs from the latest warehouse snapshot.
3. For oversold orders, follow the customer outreach macro - do not hand-edit stock counts outside reconcile mode.
## Escalation
SEV2 while oversell is active (customer-facing). Notify growth and support leads.
</t>
  </si>
  <si>
    <t>https://github.com/mahesh-ai-architect/Second-Responder/blob/main/runbooks/RB-011-inventory-stock-sync.md</t>
  </si>
  <si>
    <t>T012</t>
  </si>
  <si>
    <t>all</t>
  </si>
  <si>
    <t>For a SEV1 incident, what are the acknowledgement and update targets, who can downgrade severity, and what follow-up is required?</t>
  </si>
  <si>
    <t>RB-012</t>
  </si>
  <si>
    <t xml:space="preserve">**Service:** all | **Owner:** infrastructure operations | **Applies to:** every incident
## Severity definitions and response targets
- **SEV1:** Customer-facing outage or data-loss risk. Acknowledge within 5 minutes. Incident commander required. Stakeholder updates every 30 minutes.
- **SEV2:** Major degradation of a customer-facing service. Acknowledge within 15 minutes. Updates hourly.
- **SEV3:** Minor degradation with a workaround available. Acknowledge within 60 minutes.
- **SEV4:** No customer impact. Acknowledge within 240 minutes; next business day is acceptable.
## Declaring and downgrading
- Any on-call engineer can declare a SEV1 or SEV2.
- Only the incident commander can downgrade a severity.
- When in doubt between two levels, declare the higher one - downgrading is cheap, under-declaring is not.
## Escalation chain
Service owner -&gt; team on-call lead -&gt; engineering manager -&gt; director of infrastructure.
Page the next level if the current level has not engaged within the ack target for the severity.
## Communications and follow-up
- Status page updates are mandatory for SEV1 and SEV2.
- A blameless postmortem is required for every SEV1 and SEV2 within 3 business days, owned by the incident commander.
</t>
  </si>
  <si>
    <t>https://github.com/mahesh-ai-architect/Second-Responder/blob/main/runbooks/RB-012-severity-and-escalation-guide.md</t>
  </si>
  <si>
    <t>T013</t>
  </si>
  <si>
    <t>Boundary</t>
  </si>
  <si>
    <t>DB CPU is 65%. Does RB-009 permit a temporary 25% pool_size increase?</t>
  </si>
  <si>
    <t>No. A temporary 25% pool_size increase is allowed only if DB CPU is below 60%. Do not authorize the increase at 65%.</t>
  </si>
  <si>
    <t>Reviewer-authored starter expectation. Verify against source snapshots before using as a reference.</t>
  </si>
  <si>
    <t>T014</t>
  </si>
  <si>
    <t>DB CPU is exactly 60%. Does RB-009 permit a temporary 25% pool_size increase?</t>
  </si>
  <si>
    <t>No. The condition is below 60%, not at or below 60%.</t>
  </si>
  <si>
    <t>T015</t>
  </si>
  <si>
    <t>DB CPU is 55%. What temporary pool_size increase does RB-009 allow?</t>
  </si>
  <si>
    <t>Temporary pool_size increase of 25% is allowed only if DB CPU is below 60%. Do not invent a duration or a higher increase.</t>
  </si>
  <si>
    <t>T016</t>
  </si>
  <si>
    <t>Escalation</t>
  </si>
  <si>
    <t>Connection pool exhaustion has recurred twice in 24 hours. Who should I escalate to and what severity applies?</t>
  </si>
  <si>
    <t>Escalate to the DB lead; treat as SEV2. This is a leak hunt.</t>
  </si>
  <si>
    <t>T017</t>
  </si>
  <si>
    <t>Conditional</t>
  </si>
  <si>
    <t>payments-api has 503s with no healthy upstream. Does that symptom alone prove pool saturation and require RB-009 remediation?</t>
  </si>
  <si>
    <t>No. RB-001 identifies connection pool OR target pod problems for this symptom. Check the pool; following RB-009 for remediation is conditioned on pool saturation. Do not assert a confirmed diagnosis.</t>
  </si>
  <si>
    <t>T018</t>
  </si>
  <si>
    <t>Unsupported</t>
  </si>
  <si>
    <t>outside corpus</t>
  </si>
  <si>
    <t>Give me the exact GPU reset command for a video-transcoding service whose workers have stopped.</t>
  </si>
  <si>
    <t>Clarification or abstention</t>
  </si>
  <si>
    <t/>
  </si>
  <si>
    <t>No video-transcoding runbook is in this corpus. Ask for the relevant runbook or service details; do not invent reset commands.</t>
  </si>
  <si>
    <t>T019</t>
  </si>
  <si>
    <t>What command should I run to repair a Kafka controller quorum failure?</t>
  </si>
  <si>
    <t>No Kafka controller repair procedure is in this corpus. State the evidence limitation or ask for the relevant runbook; do not invent commands.</t>
  </si>
  <si>
    <t>T020</t>
  </si>
  <si>
    <t>Ambiguous</t>
  </si>
  <si>
    <t>unknown</t>
  </si>
  <si>
    <t>It is failing. What should I restart?</t>
  </si>
  <si>
    <t>Ask for the affected service and exact alert or symptoms. Do not recommend an arbitrary restart.</t>
  </si>
  <si>
    <t>Runbook reference | Source snapshots</t>
  </si>
  <si>
    <t>These are local corpus snapshots, not evidence automatically retrieved by n8n. For faithfulness scoring, use the actual retrieved text saved with each response.</t>
  </si>
  <si>
    <t>Runbook ID</t>
  </si>
  <si>
    <t>Filename</t>
  </si>
  <si>
    <t>GitHub source</t>
  </si>
  <si>
    <t>File blob SHA</t>
  </si>
  <si>
    <t>Snapshot text</t>
  </si>
  <si>
    <t>RB-001-payments-api-5xx.md</t>
  </si>
  <si>
    <t>Open GitHub runbook</t>
  </si>
  <si>
    <t>890cef5ed6ba7419d0bf473da71da02e4699e043</t>
  </si>
  <si>
    <t xml:space="preserve"># RB-001: Elevated 5xx errors on the /charge endpoint
**Service:** payments-api | **Owner:** payments team | **Typical severity:** SEV2 (SEV1 if &gt;50% of charges failing)
## Symptoms
- Alert: "payments-api 5xx rate above 5% for 5 minutes"
- Logs show "502 upstream prematurely closed connection" and "stripe request timeout after 3000ms"
- Checkout failures rise in proportion to the error rate
## First checks
1. `kubectl rollout status deploy/payments-api -n prod` and `kubectl get pods -n prod -l app=payments-api`
2. Was there a deploy in the last 30 minutes? Check the deploy feed first.
3. Check status.stripe.com for an active Stripe incident.
4. Look at the orders DB connection pool (see RB-009 if saturated).
## Diagnosis
- Errors started within 10 minutes of a deploy: assume bad release until proven otherwise.
- Only /charge failing and Stripe status degraded: downstream provider issue, not us.
- 503s with "no healthy upstream": connection pool or target pod problem.
## Remediation
1. Bad deploy: `kubectl rollout undo deploy/payments-api -n prod`
2. Stripe degraded: enable queued-charge mode (`payments.queue_mode=true`) so charges retry asynchronously instead of failing at checkout.
3. Pool saturation: follow RB-009.
## Escalation
Escalate to the payments on-call lead if the error rate is above 20% or not resolved within 15 minutes. Declare SEV1 if more than 50% of charges are failing.
## After resolution
Confirm the error rate stays below 0.5% for 15 minutes before closing the incident.
</t>
  </si>
  <si>
    <t>RB-002-payments-api-webhook-backlog.md</t>
  </si>
  <si>
    <t>bad120bfad6ac937ccf8fd6a946c113c4ba7abd5</t>
  </si>
  <si>
    <t xml:space="preserve"># RB-002: Webhook delivery backlog
**Service:** payments-api | **Owner:** payments team | **Typical severity:** SEV3 (SEV2 if backlog &gt; 50,000)
## Symptoms
- Queue "webhooks-inbound" depth above 10,000 and rising
- Consumer lag growing; downstream order and inventory states go stale
- Logs show "delivery attempt 8 failed, moving to DLQ"
## First checks
1. `kubectl get pods -n prod -l app=webhook-consumer` - look for CrashLoopBackOff
2. Check whether the same message_id is stuck at the head of the queue (poison message)
3. Check the downstream endpoint's own error rate
## Diagnosis
- Consumer crash-looping: usually a bad deploy or a config change.
- One message retried forever: poison message blocking the partition.
- Downstream endpoint returning 500s: fix the downstream service first, not the consumer.
## Remediation
1. Fix or roll back the consumer deploy.
2. Move the poison message to the DLQ manually, note its message_id in the incident timeline.
3. Scale consumers: `kubectl scale deploy/webhook-consumer -n prod --replicas=6`
4. Replay the DLQ only after the root cause is fixed. Webhook handlers are idempotent on event_id - verify the consumer checks event_id before replaying.
## Escalation
SEV2 if the backlog exceeds 50,000 or customer-visible order states are wrong.
</t>
  </si>
  <si>
    <t>RB-003-auth-service-sso-failures.md</t>
  </si>
  <si>
    <t>3526e8286a8eb4d63616e044a34a7288c834c52c</t>
  </si>
  <si>
    <t xml:space="preserve"># RB-003: SSO login failure spike
**Service:** auth-service | **Owner:** identity team | **Typical severity:** SEV1 if all SSO logins fail
## Symptoms
- Login success rate below 90%
- Errors: "SAML signature validation failed" and "OIDC discovery document fetch failed"
## First checks
1. Fetch the IdP discovery document: `curl https://idp.example.com/.well-known/openid-configuration`
2. Compare the IdP signing certificate fingerprint against the configured metadata.
3. Check node clock drift: `chronyc tracking` - drift above 30 seconds breaks token validation.
## Diagnosis
- Most common cause: the IdP rotated its signing certificate and our cached metadata is stale.
- Discovery fetch failing: IdP outage or a network/DNS change on our side.
- Signature failures plus clock drift: fix NTP before touching metadata.
## Remediation
1. Refresh IdP metadata from the admin console: Identity Providers -&gt; Reload metadata.
2. Clear cached keys: `kubectl rollout restart deploy/auth-service -n prod`
3. If the IdP is down, post the status page notice and wait - do not bypass signature checks.
## Escalation
SEV1 if all SSO logins are failing (workforce lockout). Page the identity on-call lead immediately.
</t>
  </si>
  <si>
    <t>RB-004-auth-service-mfa-push.md</t>
  </si>
  <si>
    <t>1efaab7de77c93217a6a43af07cc2098ace0dff5</t>
  </si>
  <si>
    <t xml:space="preserve"># RB-004: MFA push delivery degraded
**Service:** auth-service | **Owner:** identity team | **Typical severity:** SEV3 (SEV2 if &gt;30 minutes)
## Symptoms
- Push approval latency above 60 seconds, or failures with "push token revoked"
- Users report not receiving MFA prompts
## First checks
1. Check the push vendor status page (APNs/FCM relay provider).
2. Token revocation rate split by platform: iOS vs Android.
3. Confirm TOTP (authenticator app) logins are unaffected.
## Diagnosis
- One platform only: platform gateway or vendor-side issue.
- Both platforms: our notification service or vendor account throttling.
## Remediation
1. Advise users to fall back to authenticator app (TOTP) codes - use the comms template in the incident channel.
2. If single-platform, open a vendor ticket with sample device tokens and timestamps.
3. Never disable or weaken MFA to "fix" delivery problems.
## Escalation
Identity lead plus a vendor P1 ticket if degradation lasts more than 30 minutes or blocks a SEV1/SEV2 response.
</t>
  </si>
  <si>
    <t>RB-005-search-index-rebuild.md</t>
  </si>
  <si>
    <t>fbe506d6256fd5924617613a90c46a32d8b76f31</t>
  </si>
  <si>
    <t xml:space="preserve"># RB-005: Search index rebuild stalled
**Service:** search | **Owner:** platform team | **Typical severity:** SEV3 (SEV2 if customer-facing results stale &gt; 2 hours)
## Symptoms
- Nightly job "indexer-nightly" stuck, shard progress frozen
- Error "mapper_parsing_exception" in indexer logs, or a data node above 85% disk
## First checks
1. Disk usage per data node; indexing halts at the high watermark.
2. Indexer logs for "mapper_parsing_exception" - a field arrived with a conflicting type.
3. GC pause times on data nodes.
## Diagnosis
- Disk above watermark: snapshots or old indices consuming space.
- Mapping exception: a producer started sending a field with a new type.
- Progress frozen with healthy disk: long GC or a hung shard task.
## Remediation
1. Delete snapshots beyond retention; delete closed indices older than 90 days.
2. Fix the mapping for the offending field, or route that field to a quarantine index.
3. Resume the job from its checkpoint: `indexer-nightly --resume-from-shard`
4. If users also report worse results, check the last search deploy for analyzer changes before blaming the index.
## Escalation
Platform on-call lead if customer-facing search results are stale for more than 2 hours.
</t>
  </si>
  <si>
    <t>RB-006-checkout-latency.md</t>
  </si>
  <si>
    <t>c5c9e2f7c95d9a79931be96bfef50dc06ccbe70d</t>
  </si>
  <si>
    <t xml:space="preserve"># RB-006: Checkout latency regression after deploy
**Service:** checkout | **Owner:** growth team | **Typical severity:** SEV2 if conversion impact confirmed
## Symptoms
- Checkout p99 latency above 2.5s against a 900ms baseline
- APM traces show time concentrated in promo validation or the inventory call
## First checks
1. APM waterfall for a slow trace: which span eats the time?
2. Was "checkout_v2" enabled in the last deploy?
3. Check for N+1 query patterns in cart service database calls.
## Diagnosis
- Promo validation called synchronously per cart item: known regression pattern from the v2 flag.
- Cache bypass header set by the new frontend build: every request hits origin services.
- DB time dominant: hand off to RB-009.
## Remediation
1. Disable the flag: `checkout_v2=false` - instant rollback, no deploy needed.
2. Enable async promo validation: `promo.async_validation=true`
3. Verify p99 below 1.2s for 10 minutes before closing.
## Escalation
Growth team lead. SEV2 if analytics confirms a conversion drop.
</t>
  </si>
  <si>
    <t>RB-007-notifications-queue-backlog.md</t>
  </si>
  <si>
    <t>97c0f8c240bae7e2cd618307f46cad264bb24e5b</t>
  </si>
  <si>
    <t xml:space="preserve"># RB-007: Email and SMS queue backlog
**Service:** notifications | **Owner:** platform team | **Typical severity:** SEV3 (SEV2 if OTP/password-reset mail delayed &gt; 15 min)
## Symptoms
- Email queue depth rising, send latency above 10 minutes
- Provider returns "429 provider rate limit exceeded"
## First checks
1. Split queue depth: transactional vs marketing. A campaign burst sharing the queue is the usual cause.
2. Worker replica count vs the autoscaling cap.
3. Provider rate limit status for our account.
## Diagnosis
- Marketing burst: a campaign send flooded the shared queue.
- Workers at cap with steady traffic: genuine capacity ceiling.
- 429s at low volume: provider-side throttling or account limit change.
## Remediation
1. Prioritize the "notifications-transactional" queue - OTP and password resets go first.
2. Raise worker replicas up to the max of 20.
3. Pause campaign sends: `campaigns.paused=true`
4. Never drop transactional messages to clear a backlog.
## Escalation
If password-reset or OTP mail is delayed more than 15 minutes this becomes auth-impacting - raise to SEV2 and cross-reference RB-004.
</t>
  </si>
  <si>
    <t>RB-008-database-replication-lag.md</t>
  </si>
  <si>
    <t>92c18f85686dd32122b73bc015be4205647d5df6</t>
  </si>
  <si>
    <t xml:space="preserve"># RB-008: Database replication lag on primary
**Service:** database-primary | **Owner:** platform (DB) team | **Typical severity:** SEV2 (SEV1 if lag &gt; 300s with unhealthy primary)
## Symptoms
- Replica lag above 30 seconds and climbing in pg_stat_replication
- Read-your-write complaints from application teams
## First checks
1. `SELECT pid, application_name, now() - xact_start AS xact_age FROM pg_stat_activity ORDER BY xact_age DESC;`
2. Identify bulk jobs by application_name - backfills are the usual blocker.
3. Replica disk I/O utilisation.
## Diagnosis
- One long transaction on the primary: replica replay is blocked behind it.
- Backfill job running during peak: contention, not failure.
- Replica disk saturated: replay cannot keep up even with a healthy primary.
## Remediation
1. With incident commander approval, terminate the blocking backfill: `SELECT pg_terminate_backend(&lt;pid&gt;);`
2. Throttle or pause batch jobs until lag drains below 5 seconds.
3. Controlled failover only if the primary is genuinely failing AND lag is under 10 seconds.
4. Never promote a replica with lag above 300 seconds without data-loss sign-off from the DB lead.
## Escalation
SEV1 if lag exceeds 300 seconds with an unhealthy primary. Page the DB lead.
</t>
  </si>
  <si>
    <t>RB-009-database-connection-pool.md</t>
  </si>
  <si>
    <t>f57b63acfccacbf1af64e44c41303ec78d171fe8</t>
  </si>
  <si>
    <t xml:space="preserve"># RB-009: Connection pool exhaustion
**Service:** database-primary | **Owner:** platform (DB) team | **Typical severity:** SEV2
## Symptoms
- Application errors: "FATAL: remaining connection slots are reserved for non-replication superuser connections"
- PgBouncer client wait queue growing
## First checks
1. `SELECT application_name, state, count(*) FROM pg_stat_activity GROUP BY 1, 2 ORDER BY 3 DESC;`
2. PgBouncer: `SHOW POOLS;` - look at cl_waiting.
3. Sessions stuck in "idle in transaction" point at a leaking deploy.
## Diagnosis
- One application_name dominating with idle-in-transaction sessions: connection leak in a recent deploy.
- All apps up evenly: genuine load growth or a batch job.
- Pooler queue up but DB sessions low: pool size misconfigured after a deploy.
## Remediation
1. Restart the pooler to clear leaked sessions: `systemctl restart pgbouncer`
2. Roll back the leaking deploy; the leak, not the pool size, is the bug.
3. Temporary pool_size increase of 25% is allowed only if DB CPU is below 60%.
## Escalation
DB lead if it recurs twice in 24 hours - that is a leak hunt, treat as SEV2.
</t>
  </si>
  <si>
    <t>RB-010-cdn-edge-503.md</t>
  </si>
  <si>
    <t>7577d5e1b3e100e6e825517ae10aad07f9d282e5</t>
  </si>
  <si>
    <t xml:space="preserve"># RB-010: CDN cache hit ratio drop and edge 503s
**Service:** cdn-edge | **Owner:** platform team | **Typical severity:** SEV2 if origin is saturating
## Symptoms
- Cache hit ratio below 70% against a 92% baseline
- Origin traffic roughly 3x normal; scattered 503s by POP after a config push
## First checks
1. Hit ratio split by POP and by path - global or localized?
2. Was there a CDN config push or a full purge in the last hour?
3. Origin response codes and origin CPU.
## Diagnosis
- Cache key changed to include the session cookie: every user becomes a unique cache entry.
- Full purge during peak: self-inflicted origin stampede.
- One POP only: bad config version on that POP or an origin shield misroute.
## Remediation
1. Roll back the CDN config to the previous known-good version.
2. Enable origin shield and request coalescing to protect the origin.
3. Re-warm the top 500 URLs after rollback.
4. Disable scheduled purges until the root cause is confirmed.
## Escalation
SEV2 if the origin is saturating. Protect the origin first, investigate second.
</t>
  </si>
  <si>
    <t>RB-011-inventory-stock-sync.md</t>
  </si>
  <si>
    <t>aa1dbbb7a9638f6a6c686e405c18931a991db977</t>
  </si>
  <si>
    <t xml:space="preserve"># RB-011: Stock sync failures and oversell alerts
**Service:** inventory | **Owner:** growth team | **Typical severity:** SEV2 while oversell is active
## Symptoms
- Stock sync job failing; oversell alerts on high-velocity SKUs
- Errors: "deadlock detected on sku_locks", or the feed file is missing the column "warehouse_id"
## First checks
1. Is more than one sync run executing at once? Overlapping runs deadlock each other.
2. Diff the latest warehouse feed file against the expected schema.
3. Check whether the batch repricing job is running concurrently.
## Diagnosis
- Missing "warehouse_id" column: the warehouse changed the feed schema without notice.
- Deadlocks with overlapping runs: scheduling collision, not bad data.
- Deadlocks with repricing: lock ordering conflict between the two jobs.
## Remediation
1. Stop extra sync runs; rerun a single sync in idempotent reconcile mode: `stock-sync --mode=reconcile`
2. Reconcile counts for affected SKUs from the latest warehouse snapshot.
3. For oversold orders, follow the customer outreach macro - do not hand-edit stock counts outside reconcile mode.
## Escalation
SEV2 while oversell is active (customer-facing). Notify growth and support leads.
</t>
  </si>
  <si>
    <t>RB-012-severity-and-escalation-guide.md</t>
  </si>
  <si>
    <t>c0e06b62c6f0048e9a10d30f5a5aab29724d5bc0</t>
  </si>
  <si>
    <t xml:space="preserve"># RB-012: Severity definitions and escalation guide
**Service:** all | **Owner:** infrastructure operations | **Applies to:** every incident
## Severity definitions and response targets
- **SEV1:** Customer-facing outage or data-loss risk. Acknowledge within 5 minutes. Incident commander required. Stakeholder updates every 30 minutes.
- **SEV2:** Major degradation of a customer-facing service. Acknowledge within 15 minutes. Updates hourly.
- **SEV3:** Minor degradation with a workaround available. Acknowledge within 60 minutes.
- **SEV4:** No customer impact. Acknowledge within 240 minutes; next business day is acceptable.
## Declaring and downgrading
- Any on-call engineer can declare a SEV1 or SEV2.
- Only the incident commander can downgrade a severity.
- When in doubt between two levels, declare the higher one - downgrading is cheap, under-declaring is not.
## Escalation chain
Service owner -&gt; team on-call lead -&gt; engineering manager -&gt; director of infrastructure.
Page the next level if the current level has not engaged within the ack target for the severity.
## Communications and follow-up
- Status page updates are mandatory for SEV1 and SEV2.
- A blameless postmortem is required for every SEV1 and SEV2 within 3 business days, owned by the incident commander.
</t>
  </si>
  <si>
    <t>Claim review | One factual claim per row</t>
  </si>
  <si>
    <t>Use the Run ID from Responses. Judge faithfulness against saved retrieved context; judge citation support against the specific cited source. Complete all verdicts and reviewer.</t>
  </si>
  <si>
    <t>Run ID</t>
  </si>
  <si>
    <t>Claim ID</t>
  </si>
  <si>
    <t>Atomic claim / action plus conditions</t>
  </si>
  <si>
    <t>Cited source IDs</t>
  </si>
  <si>
    <t>Exact supporting excerpt from retrieved evidence</t>
  </si>
  <si>
    <t>Faithfulness verdict</t>
  </si>
  <si>
    <t>Citation verdict</t>
  </si>
  <si>
    <t>Critical error?</t>
  </si>
  <si>
    <t>Reviewer</t>
  </si>
  <si>
    <t>Notes / correction</t>
  </si>
  <si>
    <t>Review complete</t>
  </si>
  <si>
    <t>Responses | Paste actual n8n evidence and answer</t>
  </si>
  <si>
    <t>20 Run IDs and Test IDs are prepared. No scores are fabricated. Fill the answer, evidence, outcome, appropriateness, reviewer, and claim inventory confirmation; grade atomic claims in Claim Review.</t>
  </si>
  <si>
    <t>Run timestamp</t>
  </si>
  <si>
    <t>Model</t>
  </si>
  <si>
    <t>Prompt / workflow version</t>
  </si>
  <si>
    <t>Corpus version / namespace</t>
  </si>
  <si>
    <t>Retrieved evidence (full text)</t>
  </si>
  <si>
    <t>Answer (JSON or text)</t>
  </si>
  <si>
    <t>Outcome</t>
  </si>
  <si>
    <t>Response appropriate?</t>
  </si>
  <si>
    <t>Citation errors</t>
  </si>
  <si>
    <t>Critical errors</t>
  </si>
  <si>
    <t>Total claims</t>
  </si>
  <si>
    <t>Supported claims</t>
  </si>
  <si>
    <t>Unreviewed claims</t>
  </si>
  <si>
    <t>Faithfulness</t>
  </si>
  <si>
    <t>Review status</t>
  </si>
  <si>
    <t>Notes</t>
  </si>
  <si>
    <t>Expected behavior</t>
  </si>
  <si>
    <t>Claim inventory complete?</t>
  </si>
  <si>
    <t>R001</t>
  </si>
  <si>
    <t>R002</t>
  </si>
  <si>
    <t>R003</t>
  </si>
  <si>
    <t>R004</t>
  </si>
  <si>
    <t>R005</t>
  </si>
  <si>
    <t>R006</t>
  </si>
  <si>
    <t>R007</t>
  </si>
  <si>
    <t>R008</t>
  </si>
  <si>
    <t>R009</t>
  </si>
  <si>
    <t>R010</t>
  </si>
  <si>
    <t>R011</t>
  </si>
  <si>
    <t>R012</t>
  </si>
  <si>
    <t>R013</t>
  </si>
  <si>
    <t>R014</t>
  </si>
  <si>
    <t>R015</t>
  </si>
  <si>
    <t>R016</t>
  </si>
  <si>
    <t>R017</t>
  </si>
  <si>
    <t>R018</t>
  </si>
  <si>
    <t>R019</t>
  </si>
  <si>
    <t>R020</t>
  </si>
  <si>
    <t>Evaluation dashboard | Evidence before confidence</t>
  </si>
  <si>
    <t>Mean faithfulness uses completely reviewed responses with claims. No answers have been scored yet. Results describe recorded tests, not guaranteed production performance.</t>
  </si>
  <si>
    <t>Faithfulness target (editable)</t>
  </si>
  <si>
    <t>Scored responses</t>
  </si>
  <si>
    <t>Mean faithfulness</t>
  </si>
  <si>
    <t>Mean target reached?</t>
  </si>
  <si>
    <t>PASS responses</t>
  </si>
  <si>
    <t>FAIL responses</t>
  </si>
  <si>
    <t>Citation errors flagged</t>
  </si>
  <si>
    <t>Critical operational errors flagged</t>
  </si>
  <si>
    <t>Answered outcomes</t>
  </si>
  <si>
    <t>Clarification / abstention outcomes</t>
  </si>
  <si>
    <t>Inappropriate responses flagged</t>
  </si>
  <si>
    <t>Claims awaiting review</t>
  </si>
  <si>
    <t>Held-out scored responses</t>
  </si>
  <si>
    <t>Held-out mean faithfulness</t>
  </si>
  <si>
    <t>Answered responses marked appropriate</t>
  </si>
  <si>
    <t>A mean of 90% does not make an unsupported command acceptable. Review critical errors separately. Zero observed errors is evidence from these tests, not a guarantee. Examine individual cases and service-level failures; report appropriateness and abstention alongside faithfulness.</t>
  </si>
  <si>
    <t>All starter tests are Development and no answers are pre-scored. Add unseen Held-out cases. Use unique Run IDs for retests and compare one prompt/model/corpus version at a time. This dashboard aggregates all rows, including repeated runs.</t>
  </si>
  <si>
    <t>Worked example | Illustration only</t>
  </si>
  <si>
    <t>These sample scores demonstrate the math. They are NOT chatbot results and are excluded from the Dashboard. Check this sheet after importing into Google Sheets.</t>
  </si>
  <si>
    <t>Illustration</t>
  </si>
  <si>
    <t>Interpretation</t>
  </si>
  <si>
    <t>One unsupported claim</t>
  </si>
  <si>
    <t>90% is below perfect; inspect what was unsupported.</t>
  </si>
  <si>
    <t>All claims supported</t>
  </si>
  <si>
    <t>100% for this illustrative answer only.</t>
  </si>
  <si>
    <t>No factual claims</t>
  </si>
  <si>
    <t>N/A; separately assess whether abstaining was appropriate.</t>
  </si>
  <si>
    <t>Claim splitting: “Increase pool_size by 25% only if CPU is below 60%” is one conditional action. Removing or broadening its prerequisite changes its meaning and must be treated as an unsupported operational claim.</t>
  </si>
  <si>
    <t>A numbered step may contain multiple claims. For example, an escalation destination and its severity threshold can require separate checks. Do not count numbered steps as if they were always atomic claims.</t>
  </si>
</sst>
</file>

<file path=xl/styles.xml><?xml version="1.0" encoding="utf-8"?>
<styleSheet xmlns="http://schemas.openxmlformats.org/spreadsheetml/2006/main">
  <numFmts count="2">
    <numFmt numFmtId="164" formatCode="0%"/>
    <numFmt numFmtId="165" formatCode="0.0%"/>
  </numFmts>
  <fonts count="8">
    <font>
      <sz val="11"/>
      <color theme="1"/>
      <name val="Calibri"/>
      <family val="2"/>
      <scheme val="minor"/>
    </font>
    <font>
      <b/>
      <sz val="22"/>
      <color rgb="FF16324F"/>
      <name val="Calibri"/>
      <family val="2"/>
      <scheme val="minor"/>
    </font>
    <font>
      <sz val="11"/>
      <color rgb="FF63758A"/>
      <name val="Calibri"/>
      <family val="2"/>
      <scheme val="minor"/>
    </font>
    <font>
      <b/>
      <sz val="13"/>
      <color rgb="FF087F8C"/>
      <name val="Calibri"/>
      <family val="2"/>
      <scheme val="minor"/>
    </font>
    <font>
      <u/>
      <sz val="11"/>
      <color rgb="FF1565C0"/>
      <name val="Calibri"/>
      <family val="2"/>
      <scheme val="minor"/>
    </font>
    <font>
      <sz val="11"/>
      <color rgb="FF1565C0"/>
      <name val="Calibri"/>
      <family val="2"/>
      <scheme val="minor"/>
    </font>
    <font>
      <b/>
      <sz val="19"/>
      <color rgb="FF16324F"/>
      <name val="Calibri"/>
      <family val="2"/>
      <scheme val="minor"/>
    </font>
    <font>
      <b/>
      <sz val="11"/>
      <color rgb="FFFFFFFF"/>
      <name val="Calibri"/>
      <family val="2"/>
      <scheme val="minor"/>
    </font>
  </fonts>
  <fills count="5">
    <fill>
      <patternFill patternType="none"/>
    </fill>
    <fill>
      <patternFill patternType="gray125"/>
    </fill>
    <fill>
      <patternFill patternType="solid">
        <fgColor rgb="FFEAF3FB"/>
        <bgColor indexed="64"/>
      </patternFill>
    </fill>
    <fill>
      <patternFill patternType="solid">
        <fgColor rgb="FF16324F"/>
        <bgColor indexed="64"/>
      </patternFill>
    </fill>
    <fill>
      <patternFill patternType="solid">
        <fgColor rgb="FFF3F5F7"/>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0" fillId="0" borderId="0" xfId="0" applyAlignment="1">
      <alignment vertical="top" wrapText="1"/>
    </xf>
    <xf numFmtId="0" fontId="4" fillId="0" borderId="0" xfId="0" applyFont="1" applyAlignment="1">
      <alignment vertical="top" wrapText="1"/>
    </xf>
    <xf numFmtId="164" fontId="5" fillId="2" borderId="0" xfId="0" applyNumberFormat="1" applyFont="1" applyFill="1"/>
    <xf numFmtId="0" fontId="6" fillId="2" borderId="0" xfId="0" applyFont="1" applyFill="1"/>
    <xf numFmtId="165" fontId="6" fillId="2" borderId="0" xfId="0" applyNumberFormat="1" applyFont="1" applyFill="1"/>
    <xf numFmtId="0" fontId="5" fillId="0" borderId="0" xfId="0" applyFont="1" applyAlignment="1">
      <alignment vertical="top" wrapText="1"/>
    </xf>
    <xf numFmtId="0" fontId="7" fillId="3" borderId="0" xfId="0" applyFont="1" applyFill="1" applyAlignment="1">
      <alignment vertical="center" wrapText="1"/>
    </xf>
    <xf numFmtId="0" fontId="0" fillId="4" borderId="0" xfId="0" applyFill="1" applyAlignment="1">
      <alignment vertical="top" wrapText="1"/>
    </xf>
    <xf numFmtId="165" fontId="0" fillId="4" borderId="0" xfId="0" applyNumberFormat="1" applyFill="1" applyAlignment="1">
      <alignment vertical="top"/>
    </xf>
  </cellXfs>
  <cellStyles count="1">
    <cellStyle name="Normal" xfId="0" builtinId="0"/>
  </cellStyles>
  <dxfs count="2">
    <dxf>
      <font>
        <color rgb="FFA12622"/>
      </font>
      <fill>
        <patternFill>
          <bgColor rgb="FFFDE9E7"/>
        </patternFill>
      </fill>
    </dxf>
    <dxf>
      <font>
        <color rgb="FF176B3A"/>
      </font>
      <fill>
        <patternFill>
          <bgColor rgb="FFE5F4E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TestCases" displayName="TestCases" ref="A5:J205" totalsRowShown="0">
  <autoFilter ref="A5:J205"/>
  <tableColumns count="10">
    <tableColumn id="1" name="Test ID"/>
    <tableColumn id="2" name="Split"/>
    <tableColumn id="3" name="Category"/>
    <tableColumn id="4" name="Service"/>
    <tableColumn id="5" name="Question"/>
    <tableColumn id="6" name="Expected outcome"/>
    <tableColumn id="7" name="Expected runbooks"/>
    <tableColumn id="8" name="Expected key points / source wording"/>
    <tableColumn id="9" name="Source URL"/>
    <tableColumn id="10" name="Reviewer notes"/>
  </tableColumns>
  <tableStyleInfo name="TableStyleMedium2" showFirstColumn="0" showLastColumn="0" showRowStripes="1" showColumnStripes="0"/>
</table>
</file>

<file path=xl/tables/table2.xml><?xml version="1.0" encoding="utf-8"?>
<table xmlns="http://schemas.openxmlformats.org/spreadsheetml/2006/main" id="2" name="Responses" displayName="Responses" ref="A5:X205" totalsRowShown="0">
  <autoFilter ref="A5:X205"/>
  <tableColumns count="24">
    <tableColumn id="1" name="Run ID"/>
    <tableColumn id="2" name="Test ID"/>
    <tableColumn id="3" name="Split"/>
    <tableColumn id="4" name="Question"/>
    <tableColumn id="5" name="Run timestamp"/>
    <tableColumn id="6" name="Model"/>
    <tableColumn id="7" name="Prompt / workflow version"/>
    <tableColumn id="8" name="Corpus version / namespace"/>
    <tableColumn id="9" name="Retrieved evidence (full text)"/>
    <tableColumn id="10" name="Answer (JSON or text)"/>
    <tableColumn id="11" name="Outcome"/>
    <tableColumn id="12" name="Response appropriate?"/>
    <tableColumn id="13" name="Citation errors"/>
    <tableColumn id="14" name="Critical errors"/>
    <tableColumn id="15" name="Total claims"/>
    <tableColumn id="16" name="Supported claims"/>
    <tableColumn id="17" name="Unreviewed claims"/>
    <tableColumn id="18" name="Faithfulness"/>
    <tableColumn id="19" name="Review status"/>
    <tableColumn id="20" name="Reviewer"/>
    <tableColumn id="21" name="Notes"/>
    <tableColumn id="22" name="Expected runbooks"/>
    <tableColumn id="23" name="Expected behavior"/>
    <tableColumn id="24" name="Claim inventory complete?"/>
  </tableColumns>
  <tableStyleInfo name="TableStyleMedium2" showFirstColumn="0" showLastColumn="0" showRowStripes="1" showColumnStripes="0"/>
</table>
</file>

<file path=xl/tables/table3.xml><?xml version="1.0" encoding="utf-8"?>
<table xmlns="http://schemas.openxmlformats.org/spreadsheetml/2006/main" id="3" name="Claims" displayName="Claims" ref="A5:K2005" totalsRowShown="0">
  <autoFilter ref="A5:K2005"/>
  <tableColumns count="11">
    <tableColumn id="1" name="Run ID"/>
    <tableColumn id="2" name="Claim ID"/>
    <tableColumn id="3" name="Atomic claim / action plus conditions"/>
    <tableColumn id="4" name="Cited source IDs"/>
    <tableColumn id="5" name="Exact supporting excerpt from retrieved evidence"/>
    <tableColumn id="6" name="Faithfulness verdict"/>
    <tableColumn id="7" name="Citation verdict"/>
    <tableColumn id="8" name="Critical error?"/>
    <tableColumn id="9" name="Reviewer"/>
    <tableColumn id="10" name="Notes / correction"/>
    <tableColumn id="11" name="Review complete"/>
  </tableColumns>
  <tableStyleInfo name="TableStyleMedium2" showFirstColumn="0" showLastColumn="0" showRowStripes="1" showColumnStripes="0"/>
</table>
</file>

<file path=xl/tables/table4.xml><?xml version="1.0" encoding="utf-8"?>
<table xmlns="http://schemas.openxmlformats.org/spreadsheetml/2006/main" id="4" name="RunbookSnapshots" displayName="RunbookSnapshots" ref="A5:E17" totalsRowShown="0">
  <autoFilter ref="A5:E17"/>
  <tableColumns count="5">
    <tableColumn id="1" name="Runbook ID"/>
    <tableColumn id="2" name="Filename"/>
    <tableColumn id="3" name="GitHub source"/>
    <tableColumn id="4" name="File blob SHA"/>
    <tableColumn id="5" name="Snapshot 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ragas.io/en/stable/concepts/metrics/available_metrics/faithfulness/" TargetMode="External"/><Relationship Id="rId2" Type="http://schemas.openxmlformats.org/officeDocument/2006/relationships/hyperlink" Target="https://developers.openai.com/api/docs/guides/evaluation-best-practic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mahesh-ai-architect/Second-Responder/blob/main/runbooks/RB-001-payments-api-5xx.md" TargetMode="External"/><Relationship Id="rId2" Type="http://schemas.openxmlformats.org/officeDocument/2006/relationships/hyperlink" Target="https://github.com/mahesh-ai-architect/Second-Responder/blob/main/runbooks/RB-002-payments-api-webhook-backlog.md" TargetMode="External"/><Relationship Id="rId3" Type="http://schemas.openxmlformats.org/officeDocument/2006/relationships/hyperlink" Target="https://github.com/mahesh-ai-architect/Second-Responder/blob/main/runbooks/RB-003-auth-service-sso-failures.md" TargetMode="External"/><Relationship Id="rId4" Type="http://schemas.openxmlformats.org/officeDocument/2006/relationships/hyperlink" Target="https://github.com/mahesh-ai-architect/Second-Responder/blob/main/runbooks/RB-004-auth-service-mfa-push.md" TargetMode="External"/><Relationship Id="rId5" Type="http://schemas.openxmlformats.org/officeDocument/2006/relationships/hyperlink" Target="https://github.com/mahesh-ai-architect/Second-Responder/blob/main/runbooks/RB-005-search-index-rebuild.md" TargetMode="External"/><Relationship Id="rId6" Type="http://schemas.openxmlformats.org/officeDocument/2006/relationships/hyperlink" Target="https://github.com/mahesh-ai-architect/Second-Responder/blob/main/runbooks/RB-006-checkout-latency.md" TargetMode="External"/><Relationship Id="rId7" Type="http://schemas.openxmlformats.org/officeDocument/2006/relationships/hyperlink" Target="https://github.com/mahesh-ai-architect/Second-Responder/blob/main/runbooks/RB-007-notifications-queue-backlog.md" TargetMode="External"/><Relationship Id="rId8" Type="http://schemas.openxmlformats.org/officeDocument/2006/relationships/hyperlink" Target="https://github.com/mahesh-ai-architect/Second-Responder/blob/main/runbooks/RB-008-database-replication-lag.md" TargetMode="External"/><Relationship Id="rId9" Type="http://schemas.openxmlformats.org/officeDocument/2006/relationships/hyperlink" Target="https://github.com/mahesh-ai-architect/Second-Responder/blob/main/runbooks/RB-009-database-connection-pool.md" TargetMode="External"/><Relationship Id="rId10" Type="http://schemas.openxmlformats.org/officeDocument/2006/relationships/hyperlink" Target="https://github.com/mahesh-ai-architect/Second-Responder/blob/main/runbooks/RB-010-cdn-edge-503.md" TargetMode="External"/><Relationship Id="rId11" Type="http://schemas.openxmlformats.org/officeDocument/2006/relationships/hyperlink" Target="https://github.com/mahesh-ai-architect/Second-Responder/blob/main/runbooks/RB-011-inventory-stock-sync.md" TargetMode="External"/><Relationship Id="rId12" Type="http://schemas.openxmlformats.org/officeDocument/2006/relationships/hyperlink" Target="https://github.com/mahesh-ai-architect/Second-Responder/blob/main/runbooks/RB-012-severity-and-escalation-guide.md" TargetMode="External"/><Relationship Id="rId13" Type="http://schemas.openxmlformats.org/officeDocument/2006/relationships/hyperlink" Target="https://github.com/mahesh-ai-architect/Second-Responder/blob/main/runbooks/RB-009-database-connection-pool.md" TargetMode="External"/><Relationship Id="rId14" Type="http://schemas.openxmlformats.org/officeDocument/2006/relationships/hyperlink" Target="https://github.com/mahesh-ai-architect/Second-Responder/blob/main/runbooks/RB-009-database-connection-pool.md" TargetMode="External"/><Relationship Id="rId15" Type="http://schemas.openxmlformats.org/officeDocument/2006/relationships/hyperlink" Target="https://github.com/mahesh-ai-architect/Second-Responder/blob/main/runbooks/RB-009-database-connection-pool.md" TargetMode="External"/><Relationship Id="rId16" Type="http://schemas.openxmlformats.org/officeDocument/2006/relationships/hyperlink" Target="https://github.com/mahesh-ai-architect/Second-Responder/blob/main/runbooks/RB-009-database-connection-pool.md" TargetMode="External"/><Relationship Id="rId17" Type="http://schemas.openxmlformats.org/officeDocument/2006/relationships/hyperlink" Target="https://github.com/mahesh-ai-architect/Second-Responder/blob/main/runbooks/RB-001-payments-api-5xx.md" TargetMode="External"/><Relationship Id="rId18"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mahesh-ai-architect/Second-Responder/blob/main/runbooks/RB-001-payments-api-5xx.md" TargetMode="External"/><Relationship Id="rId2" Type="http://schemas.openxmlformats.org/officeDocument/2006/relationships/hyperlink" Target="https://github.com/mahesh-ai-architect/Second-Responder/blob/main/runbooks/RB-002-payments-api-webhook-backlog.md" TargetMode="External"/><Relationship Id="rId3" Type="http://schemas.openxmlformats.org/officeDocument/2006/relationships/hyperlink" Target="https://github.com/mahesh-ai-architect/Second-Responder/blob/main/runbooks/RB-003-auth-service-sso-failures.md" TargetMode="External"/><Relationship Id="rId4" Type="http://schemas.openxmlformats.org/officeDocument/2006/relationships/hyperlink" Target="https://github.com/mahesh-ai-architect/Second-Responder/blob/main/runbooks/RB-004-auth-service-mfa-push.md" TargetMode="External"/><Relationship Id="rId5" Type="http://schemas.openxmlformats.org/officeDocument/2006/relationships/hyperlink" Target="https://github.com/mahesh-ai-architect/Second-Responder/blob/main/runbooks/RB-005-search-index-rebuild.md" TargetMode="External"/><Relationship Id="rId6" Type="http://schemas.openxmlformats.org/officeDocument/2006/relationships/hyperlink" Target="https://github.com/mahesh-ai-architect/Second-Responder/blob/main/runbooks/RB-006-checkout-latency.md" TargetMode="External"/><Relationship Id="rId7" Type="http://schemas.openxmlformats.org/officeDocument/2006/relationships/hyperlink" Target="https://github.com/mahesh-ai-architect/Second-Responder/blob/main/runbooks/RB-007-notifications-queue-backlog.md" TargetMode="External"/><Relationship Id="rId8" Type="http://schemas.openxmlformats.org/officeDocument/2006/relationships/hyperlink" Target="https://github.com/mahesh-ai-architect/Second-Responder/blob/main/runbooks/RB-008-database-replication-lag.md" TargetMode="External"/><Relationship Id="rId9" Type="http://schemas.openxmlformats.org/officeDocument/2006/relationships/hyperlink" Target="https://github.com/mahesh-ai-architect/Second-Responder/blob/main/runbooks/RB-009-database-connection-pool.md" TargetMode="External"/><Relationship Id="rId10" Type="http://schemas.openxmlformats.org/officeDocument/2006/relationships/hyperlink" Target="https://github.com/mahesh-ai-architect/Second-Responder/blob/main/runbooks/RB-010-cdn-edge-503.md" TargetMode="External"/><Relationship Id="rId11" Type="http://schemas.openxmlformats.org/officeDocument/2006/relationships/hyperlink" Target="https://github.com/mahesh-ai-architect/Second-Responder/blob/main/runbooks/RB-011-inventory-stock-sync.md" TargetMode="External"/><Relationship Id="rId12" Type="http://schemas.openxmlformats.org/officeDocument/2006/relationships/hyperlink" Target="https://github.com/mahesh-ai-architect/Second-Responder/blob/main/runbooks/RB-012-severity-and-escalation-guide.md" TargetMode="External"/><Relationship Id="rId1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tabColor rgb="FF087F8C"/>
    <pageSetUpPr fitToPage="1"/>
  </sheetPr>
  <dimension ref="A1:F44"/>
  <sheetViews>
    <sheetView showGridLines="0" tabSelected="1" workbookViewId="0">
      <pane ySplit="4" topLeftCell="A5" activePane="bottomLeft" state="frozen"/>
      <selection pane="bottomLeft"/>
    </sheetView>
  </sheetViews>
  <sheetFormatPr defaultRowHeight="15"/>
  <cols>
    <col min="1" max="1" width="5.7109375" customWidth="1"/>
    <col min="2" max="6" width="20.7109375" customWidth="1"/>
  </cols>
  <sheetData>
    <row r="1" spans="1:6" ht="33" customHeight="1">
      <c r="A1" s="1" t="s">
        <v>0</v>
      </c>
      <c r="B1" s="1"/>
      <c r="C1" s="1"/>
      <c r="D1" s="1"/>
      <c r="E1" s="1"/>
      <c r="F1" s="1"/>
    </row>
    <row r="2" spans="1:6" ht="22" customHeight="1">
      <c r="A2" s="2" t="s">
        <v>1</v>
      </c>
      <c r="B2" s="2"/>
      <c r="C2" s="2"/>
      <c r="D2" s="2"/>
      <c r="E2" s="2"/>
      <c r="F2" s="2"/>
    </row>
    <row r="3" spans="1:6" ht="22" customHeight="1">
      <c r="A3" s="2"/>
      <c r="B3" s="2"/>
      <c r="C3" s="2"/>
      <c r="D3" s="2"/>
      <c r="E3" s="2"/>
      <c r="F3" s="2"/>
    </row>
    <row r="5" spans="1:6">
      <c r="B5" s="3" t="s">
        <v>2</v>
      </c>
      <c r="C5" s="3"/>
      <c r="D5" s="3"/>
      <c r="E5" s="3"/>
      <c r="F5" s="3"/>
    </row>
    <row r="6" spans="1:6" ht="27" customHeight="1">
      <c r="B6" s="4" t="s">
        <v>3</v>
      </c>
      <c r="C6" s="4"/>
      <c r="D6" s="4"/>
      <c r="E6" s="4"/>
      <c r="F6" s="4"/>
    </row>
    <row r="7" spans="1:6" ht="27" customHeight="1">
      <c r="B7" s="4"/>
      <c r="C7" s="4"/>
      <c r="D7" s="4"/>
      <c r="E7" s="4"/>
      <c r="F7" s="4"/>
    </row>
    <row r="8" spans="1:6">
      <c r="B8" s="3" t="s">
        <v>4</v>
      </c>
      <c r="C8" s="3"/>
      <c r="D8" s="3"/>
      <c r="E8" s="3"/>
      <c r="F8" s="3"/>
    </row>
    <row r="9" spans="1:6" ht="27" customHeight="1">
      <c r="B9" s="4" t="s">
        <v>5</v>
      </c>
      <c r="C9" s="4"/>
      <c r="D9" s="4"/>
      <c r="E9" s="4"/>
      <c r="F9" s="4"/>
    </row>
    <row r="10" spans="1:6" ht="27" customHeight="1">
      <c r="B10" s="4"/>
      <c r="C10" s="4"/>
      <c r="D10" s="4"/>
      <c r="E10" s="4"/>
      <c r="F10" s="4"/>
    </row>
    <row r="11" spans="1:6">
      <c r="B11" s="3" t="s">
        <v>6</v>
      </c>
      <c r="C11" s="3"/>
      <c r="D11" s="3"/>
      <c r="E11" s="3"/>
      <c r="F11" s="3"/>
    </row>
    <row r="12" spans="1:6" ht="27" customHeight="1">
      <c r="B12" s="4" t="s">
        <v>7</v>
      </c>
      <c r="C12" s="4"/>
      <c r="D12" s="4"/>
      <c r="E12" s="4"/>
      <c r="F12" s="4"/>
    </row>
    <row r="13" spans="1:6" ht="27" customHeight="1">
      <c r="B13" s="4"/>
      <c r="C13" s="4"/>
      <c r="D13" s="4"/>
      <c r="E13" s="4"/>
      <c r="F13" s="4"/>
    </row>
    <row r="14" spans="1:6">
      <c r="B14" s="3" t="s">
        <v>8</v>
      </c>
      <c r="C14" s="3"/>
      <c r="D14" s="3"/>
      <c r="E14" s="3"/>
      <c r="F14" s="3"/>
    </row>
    <row r="15" spans="1:6" ht="27" customHeight="1">
      <c r="B15" s="4" t="s">
        <v>9</v>
      </c>
      <c r="C15" s="4"/>
      <c r="D15" s="4"/>
      <c r="E15" s="4"/>
      <c r="F15" s="4"/>
    </row>
    <row r="16" spans="1:6" ht="27" customHeight="1">
      <c r="B16" s="4"/>
      <c r="C16" s="4"/>
      <c r="D16" s="4"/>
      <c r="E16" s="4"/>
      <c r="F16" s="4"/>
    </row>
    <row r="17" spans="2:6">
      <c r="B17" s="3" t="s">
        <v>10</v>
      </c>
      <c r="C17" s="3"/>
      <c r="D17" s="3"/>
      <c r="E17" s="3"/>
      <c r="F17" s="3"/>
    </row>
    <row r="18" spans="2:6" ht="27" customHeight="1">
      <c r="B18" s="4" t="s">
        <v>11</v>
      </c>
      <c r="C18" s="4"/>
      <c r="D18" s="4"/>
      <c r="E18" s="4"/>
      <c r="F18" s="4"/>
    </row>
    <row r="19" spans="2:6" ht="27" customHeight="1">
      <c r="B19" s="4"/>
      <c r="C19" s="4"/>
      <c r="D19" s="4"/>
      <c r="E19" s="4"/>
      <c r="F19" s="4"/>
    </row>
    <row r="20" spans="2:6">
      <c r="B20" s="3" t="s">
        <v>12</v>
      </c>
      <c r="C20" s="3"/>
      <c r="D20" s="3"/>
      <c r="E20" s="3"/>
      <c r="F20" s="3"/>
    </row>
    <row r="21" spans="2:6" ht="27" customHeight="1">
      <c r="B21" s="4" t="s">
        <v>13</v>
      </c>
      <c r="C21" s="4"/>
      <c r="D21" s="4"/>
      <c r="E21" s="4"/>
      <c r="F21" s="4"/>
    </row>
    <row r="22" spans="2:6" ht="27" customHeight="1">
      <c r="B22" s="4"/>
      <c r="C22" s="4"/>
      <c r="D22" s="4"/>
      <c r="E22" s="4"/>
      <c r="F22" s="4"/>
    </row>
    <row r="23" spans="2:6">
      <c r="B23" s="3" t="s">
        <v>14</v>
      </c>
      <c r="C23" s="3"/>
      <c r="D23" s="3"/>
      <c r="E23" s="3"/>
      <c r="F23" s="3"/>
    </row>
    <row r="24" spans="2:6" ht="27" customHeight="1">
      <c r="B24" s="4" t="s">
        <v>15</v>
      </c>
      <c r="C24" s="4"/>
      <c r="D24" s="4"/>
      <c r="E24" s="4"/>
      <c r="F24" s="4"/>
    </row>
    <row r="25" spans="2:6" ht="27" customHeight="1">
      <c r="B25" s="4"/>
      <c r="C25" s="4"/>
      <c r="D25" s="4"/>
      <c r="E25" s="4"/>
      <c r="F25" s="4"/>
    </row>
    <row r="26" spans="2:6">
      <c r="B26" s="3" t="s">
        <v>16</v>
      </c>
      <c r="C26" s="3"/>
      <c r="D26" s="3"/>
      <c r="E26" s="3"/>
      <c r="F26" s="3"/>
    </row>
    <row r="27" spans="2:6" ht="27" customHeight="1">
      <c r="B27" s="4" t="s">
        <v>17</v>
      </c>
      <c r="C27" s="4"/>
      <c r="D27" s="4"/>
      <c r="E27" s="4"/>
      <c r="F27" s="4"/>
    </row>
    <row r="28" spans="2:6" ht="27" customHeight="1">
      <c r="B28" s="4"/>
      <c r="C28" s="4"/>
      <c r="D28" s="4"/>
      <c r="E28" s="4"/>
      <c r="F28" s="4"/>
    </row>
    <row r="29" spans="2:6">
      <c r="B29" s="3" t="s">
        <v>18</v>
      </c>
      <c r="C29" s="3"/>
      <c r="D29" s="3"/>
      <c r="E29" s="3"/>
      <c r="F29" s="3"/>
    </row>
    <row r="30" spans="2:6" ht="27" customHeight="1">
      <c r="B30" s="4" t="s">
        <v>19</v>
      </c>
      <c r="C30" s="4"/>
      <c r="D30" s="4"/>
      <c r="E30" s="4"/>
      <c r="F30" s="4"/>
    </row>
    <row r="31" spans="2:6" ht="27" customHeight="1">
      <c r="B31" s="4"/>
      <c r="C31" s="4"/>
      <c r="D31" s="4"/>
      <c r="E31" s="4"/>
      <c r="F31" s="4"/>
    </row>
    <row r="32" spans="2:6">
      <c r="B32" s="3" t="s">
        <v>20</v>
      </c>
      <c r="C32" s="3"/>
      <c r="D32" s="3"/>
      <c r="E32" s="3"/>
      <c r="F32" s="3"/>
    </row>
    <row r="33" spans="2:6" ht="27" customHeight="1">
      <c r="B33" s="4" t="s">
        <v>21</v>
      </c>
      <c r="C33" s="4"/>
      <c r="D33" s="4"/>
      <c r="E33" s="4"/>
      <c r="F33" s="4"/>
    </row>
    <row r="34" spans="2:6" ht="27" customHeight="1">
      <c r="B34" s="4"/>
      <c r="C34" s="4"/>
      <c r="D34" s="4"/>
      <c r="E34" s="4"/>
      <c r="F34" s="4"/>
    </row>
    <row r="35" spans="2:6">
      <c r="B35" s="3" t="s">
        <v>22</v>
      </c>
      <c r="C35" s="3"/>
      <c r="D35" s="3"/>
      <c r="E35" s="3"/>
      <c r="F35" s="3"/>
    </row>
    <row r="36" spans="2:6" ht="27" customHeight="1">
      <c r="B36" s="4" t="s">
        <v>23</v>
      </c>
      <c r="C36" s="4"/>
      <c r="D36" s="4"/>
      <c r="E36" s="4"/>
      <c r="F36" s="4"/>
    </row>
    <row r="37" spans="2:6" ht="27" customHeight="1">
      <c r="B37" s="4"/>
      <c r="C37" s="4"/>
      <c r="D37" s="4"/>
      <c r="E37" s="4"/>
      <c r="F37" s="4"/>
    </row>
    <row r="38" spans="2:6">
      <c r="B38" s="3" t="s">
        <v>24</v>
      </c>
      <c r="C38" s="3"/>
      <c r="D38" s="3"/>
      <c r="E38" s="3"/>
      <c r="F38" s="3"/>
    </row>
    <row r="39" spans="2:6" ht="27" customHeight="1">
      <c r="B39" s="4" t="s">
        <v>25</v>
      </c>
      <c r="C39" s="4"/>
      <c r="D39" s="4"/>
      <c r="E39" s="4"/>
      <c r="F39" s="4"/>
    </row>
    <row r="40" spans="2:6" ht="27" customHeight="1">
      <c r="B40" s="4"/>
      <c r="C40" s="4"/>
      <c r="D40" s="4"/>
      <c r="E40" s="4"/>
      <c r="F40" s="4"/>
    </row>
    <row r="43" spans="2:6">
      <c r="B43" s="5" t="s">
        <v>26</v>
      </c>
    </row>
    <row r="44" spans="2:6">
      <c r="B44" s="5" t="s">
        <v>27</v>
      </c>
    </row>
  </sheetData>
  <mergeCells count="26">
    <mergeCell ref="A1:F1"/>
    <mergeCell ref="A2:F3"/>
    <mergeCell ref="B5:F5"/>
    <mergeCell ref="B6:F7"/>
    <mergeCell ref="B8:F8"/>
    <mergeCell ref="B9:F10"/>
    <mergeCell ref="B11:F11"/>
    <mergeCell ref="B12:F13"/>
    <mergeCell ref="B14:F14"/>
    <mergeCell ref="B15:F16"/>
    <mergeCell ref="B17:F17"/>
    <mergeCell ref="B18:F19"/>
    <mergeCell ref="B20:F20"/>
    <mergeCell ref="B21:F22"/>
    <mergeCell ref="B23:F23"/>
    <mergeCell ref="B24:F25"/>
    <mergeCell ref="B26:F26"/>
    <mergeCell ref="B27:F28"/>
    <mergeCell ref="B29:F29"/>
    <mergeCell ref="B30:F31"/>
    <mergeCell ref="B32:F32"/>
    <mergeCell ref="B33:F34"/>
    <mergeCell ref="B35:F35"/>
    <mergeCell ref="B36:F37"/>
    <mergeCell ref="B38:F38"/>
    <mergeCell ref="B39:F40"/>
  </mergeCells>
  <hyperlinks>
    <hyperlink ref="B43" r:id="rId1"/>
    <hyperlink ref="B44" r:id="rId2"/>
  </hyperlink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tabColor rgb="FF087F8C"/>
    <pageSetUpPr fitToPage="1"/>
  </sheetPr>
  <dimension ref="A1:F29"/>
  <sheetViews>
    <sheetView showGridLines="0" workbookViewId="0">
      <pane ySplit="4" topLeftCell="A5" activePane="bottomLeft" state="frozen"/>
      <selection pane="bottomLeft"/>
    </sheetView>
  </sheetViews>
  <sheetFormatPr defaultRowHeight="15"/>
  <cols>
    <col min="1" max="1" width="42.7109375" customWidth="1"/>
    <col min="2" max="2" width="22.7109375" customWidth="1"/>
    <col min="3" max="3" width="4.7109375" customWidth="1"/>
    <col min="4" max="6" width="22.7109375" customWidth="1"/>
  </cols>
  <sheetData>
    <row r="1" spans="1:6" ht="33" customHeight="1">
      <c r="A1" s="1" t="s">
        <v>244</v>
      </c>
      <c r="B1" s="1"/>
      <c r="C1" s="1"/>
      <c r="D1" s="1"/>
      <c r="E1" s="1"/>
      <c r="F1" s="1"/>
    </row>
    <row r="2" spans="1:6" ht="22" customHeight="1">
      <c r="A2" s="2" t="s">
        <v>245</v>
      </c>
      <c r="B2" s="2"/>
      <c r="C2" s="2"/>
      <c r="D2" s="2"/>
      <c r="E2" s="2"/>
      <c r="F2" s="2"/>
    </row>
    <row r="3" spans="1:6" ht="22" customHeight="1">
      <c r="A3" s="2"/>
      <c r="B3" s="2"/>
      <c r="C3" s="2"/>
      <c r="D3" s="2"/>
      <c r="E3" s="2"/>
      <c r="F3" s="2"/>
    </row>
    <row r="5" spans="1:6">
      <c r="A5" s="3" t="s">
        <v>246</v>
      </c>
      <c r="B5" s="6">
        <v>0.9</v>
      </c>
    </row>
    <row r="7" spans="1:6" ht="31" customHeight="1">
      <c r="A7" s="4" t="s">
        <v>247</v>
      </c>
      <c r="B7" s="7">
        <f>COUNT(Responses!$R$6:$R$205)</f>
        <v>0</v>
      </c>
    </row>
    <row r="8" spans="1:6" ht="31" customHeight="1">
      <c r="A8" s="4" t="s">
        <v>248</v>
      </c>
      <c r="B8" s="8" t="str">
        <f>IF(COUNT(Responses!$R$6:$R$205)=0,"Not scored",AVERAGE(Responses!$R$6:$R$205))</f>
        <v>Not scored</v>
      </c>
    </row>
    <row r="9" spans="1:6" ht="31" customHeight="1">
      <c r="A9" s="4" t="s">
        <v>249</v>
      </c>
      <c r="B9" s="7" t="str">
        <f>IF(COUNT(Responses!$R$6:$R$205)=0,"Not evaluated",IF(AVERAGE(Responses!$R$6:$R$205)&gt;=B5,"Yes","No"))</f>
        <v>Not evaluated</v>
      </c>
    </row>
    <row r="10" spans="1:6" ht="31" customHeight="1">
      <c r="A10" s="4" t="s">
        <v>250</v>
      </c>
      <c r="B10" s="7">
        <f>COUNTIF(Responses!$S$6:$S$205,"PASS")</f>
        <v>0</v>
      </c>
    </row>
    <row r="11" spans="1:6" ht="31" customHeight="1">
      <c r="A11" s="4" t="s">
        <v>251</v>
      </c>
      <c r="B11" s="7">
        <f>COUNTIF(Responses!$S$6:$S$205,"FAIL")</f>
        <v>0</v>
      </c>
    </row>
    <row r="12" spans="1:6" ht="31" customHeight="1">
      <c r="A12" s="4" t="s">
        <v>252</v>
      </c>
      <c r="B12" s="7">
        <f>SUM(Responses!$M$6:$M$205)</f>
        <v>0</v>
      </c>
    </row>
    <row r="13" spans="1:6" ht="31" customHeight="1">
      <c r="A13" s="4" t="s">
        <v>253</v>
      </c>
      <c r="B13" s="7">
        <f>SUM(Responses!$N$6:$N$205)</f>
        <v>0</v>
      </c>
    </row>
    <row r="14" spans="1:6" ht="31" customHeight="1">
      <c r="A14" s="4" t="s">
        <v>254</v>
      </c>
      <c r="B14" s="7">
        <f>COUNTIF(Responses!$K$6:$K$205,"Answered")</f>
        <v>0</v>
      </c>
    </row>
    <row r="15" spans="1:6" ht="31" customHeight="1">
      <c r="A15" s="4" t="s">
        <v>255</v>
      </c>
      <c r="B15" s="7">
        <f>COUNTIF(Responses!$K$6:$K$205,"Clarification")+COUNTIF(Responses!$K$6:$K$205,"Abstained")</f>
        <v>0</v>
      </c>
    </row>
    <row r="16" spans="1:6" ht="31" customHeight="1">
      <c r="A16" s="4" t="s">
        <v>256</v>
      </c>
      <c r="B16" s="7">
        <f>COUNTIF(Responses!$L$6:$L$205,"No")</f>
        <v>0</v>
      </c>
    </row>
    <row r="17" spans="1:6" ht="31" customHeight="1">
      <c r="A17" s="4" t="s">
        <v>257</v>
      </c>
      <c r="B17" s="7">
        <f>SUM(Responses!$Q$6:$Q$205)</f>
        <v>0</v>
      </c>
    </row>
    <row r="18" spans="1:6" ht="31" customHeight="1">
      <c r="A18" s="4" t="s">
        <v>258</v>
      </c>
      <c r="B18" s="7">
        <f>SUMPRODUCT(--(Responses!$C$6:$C$205="Held-out"),--ISNUMBER(Responses!$R$6:$R$205))</f>
        <v>0</v>
      </c>
    </row>
    <row r="19" spans="1:6" ht="31" customHeight="1">
      <c r="A19" s="4" t="s">
        <v>259</v>
      </c>
      <c r="B19" s="8" t="str">
        <f>IF(B18=0,"Not scored",SUMIF(Responses!$C$6:$C$205,"Held-out",Responses!$R$6:$R$205)/B18)</f>
        <v>Not scored</v>
      </c>
    </row>
    <row r="20" spans="1:6" ht="31" customHeight="1">
      <c r="A20" s="4" t="s">
        <v>260</v>
      </c>
      <c r="B20" s="7">
        <f>COUNTIFS(Responses!$K$6:$K$205,"Answered",Responses!$L$6:$L$205,"Yes",Responses!$B$6:$B$205,"&lt;&gt;")</f>
        <v>0</v>
      </c>
    </row>
    <row r="23" spans="1:6">
      <c r="A23" s="4" t="s">
        <v>261</v>
      </c>
      <c r="B23" s="4"/>
      <c r="C23" s="4"/>
      <c r="D23" s="4"/>
      <c r="E23" s="4"/>
      <c r="F23" s="4"/>
    </row>
    <row r="24" spans="1:6">
      <c r="A24" s="4"/>
      <c r="B24" s="4"/>
      <c r="C24" s="4"/>
      <c r="D24" s="4"/>
      <c r="E24" s="4"/>
      <c r="F24" s="4"/>
    </row>
    <row r="25" spans="1:6">
      <c r="A25" s="4"/>
      <c r="B25" s="4"/>
      <c r="C25" s="4"/>
      <c r="D25" s="4"/>
      <c r="E25" s="4"/>
      <c r="F25" s="4"/>
    </row>
    <row r="27" spans="1:6">
      <c r="A27" s="4" t="s">
        <v>262</v>
      </c>
      <c r="B27" s="4"/>
      <c r="C27" s="4"/>
      <c r="D27" s="4"/>
      <c r="E27" s="4"/>
      <c r="F27" s="4"/>
    </row>
    <row r="28" spans="1:6">
      <c r="A28" s="4"/>
      <c r="B28" s="4"/>
      <c r="C28" s="4"/>
      <c r="D28" s="4"/>
      <c r="E28" s="4"/>
      <c r="F28" s="4"/>
    </row>
    <row r="29" spans="1:6">
      <c r="A29" s="4"/>
      <c r="B29" s="4"/>
      <c r="C29" s="4"/>
      <c r="D29" s="4"/>
      <c r="E29" s="4"/>
      <c r="F29" s="4"/>
    </row>
  </sheetData>
  <mergeCells count="4">
    <mergeCell ref="A1:F1"/>
    <mergeCell ref="A2:F3"/>
    <mergeCell ref="A23:F25"/>
    <mergeCell ref="A27:F29"/>
  </mergeCells>
  <dataValidations count="1">
    <dataValidation type="decimal" allowBlank="1" showInputMessage="1" showErrorMessage="1" sqref="B5">
      <formula1>0</formula1>
      <formula2>1</formula2>
    </dataValidation>
  </dataValidation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tabColor rgb="FF087F8C"/>
    <pageSetUpPr fitToPage="1"/>
  </sheetPr>
  <dimension ref="A1:J2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3" width="17.7109375" style="9" customWidth="1"/>
    <col min="4" max="4" width="22.7109375" style="9" customWidth="1"/>
    <col min="5" max="5" width="62.7109375" style="9" customWidth="1"/>
    <col min="6" max="7" width="25.7109375" style="9" customWidth="1"/>
    <col min="8" max="8" width="85.7109375" style="9" customWidth="1"/>
    <col min="9" max="10" width="45.7109375" style="9" customWidth="1"/>
  </cols>
  <sheetData>
    <row r="1" spans="1:10" ht="33" customHeight="1">
      <c r="A1" s="1" t="s">
        <v>28</v>
      </c>
      <c r="B1" s="1"/>
      <c r="C1" s="1"/>
      <c r="D1" s="1"/>
      <c r="E1" s="1"/>
      <c r="F1" s="1"/>
      <c r="G1" s="1"/>
      <c r="H1" s="1"/>
      <c r="I1" s="1"/>
      <c r="J1" s="1"/>
    </row>
    <row r="2" spans="1:10" ht="22" customHeight="1">
      <c r="A2" s="2" t="s">
        <v>29</v>
      </c>
      <c r="B2" s="2"/>
      <c r="C2" s="2"/>
      <c r="D2" s="2"/>
      <c r="E2" s="2"/>
      <c r="F2" s="2"/>
      <c r="G2" s="2"/>
      <c r="H2" s="2"/>
      <c r="I2" s="2"/>
      <c r="J2" s="2"/>
    </row>
    <row r="3" spans="1:10" ht="22" customHeight="1">
      <c r="A3" s="2"/>
      <c r="B3" s="2"/>
      <c r="C3" s="2"/>
      <c r="D3" s="2"/>
      <c r="E3" s="2"/>
      <c r="F3" s="2"/>
      <c r="G3" s="2"/>
      <c r="H3" s="2"/>
      <c r="I3" s="2"/>
      <c r="J3" s="2"/>
    </row>
    <row r="5" spans="1:10" ht="38" customHeight="1">
      <c r="A5" s="10" t="s">
        <v>30</v>
      </c>
      <c r="B5" s="10" t="s">
        <v>31</v>
      </c>
      <c r="C5" s="10" t="s">
        <v>32</v>
      </c>
      <c r="D5" s="10" t="s">
        <v>33</v>
      </c>
      <c r="E5" s="10" t="s">
        <v>34</v>
      </c>
      <c r="F5" s="10" t="s">
        <v>35</v>
      </c>
      <c r="G5" s="10" t="s">
        <v>36</v>
      </c>
      <c r="H5" s="10" t="s">
        <v>37</v>
      </c>
      <c r="I5" s="10" t="s">
        <v>38</v>
      </c>
      <c r="J5" s="10" t="s">
        <v>39</v>
      </c>
    </row>
    <row r="6" spans="1:10" ht="120" customHeight="1">
      <c r="A6" s="9" t="s">
        <v>40</v>
      </c>
      <c r="B6" s="9" t="s">
        <v>41</v>
      </c>
      <c r="C6" s="9" t="s">
        <v>42</v>
      </c>
      <c r="D6" s="9" t="s">
        <v>43</v>
      </c>
      <c r="E6" s="9" t="s">
        <v>44</v>
      </c>
      <c r="F6" s="9" t="s">
        <v>45</v>
      </c>
      <c r="G6" s="9" t="s">
        <v>46</v>
      </c>
      <c r="H6" s="9" t="s">
        <v>47</v>
      </c>
      <c r="I6" s="5" t="s">
        <v>48</v>
      </c>
      <c r="J6" s="9" t="s">
        <v>49</v>
      </c>
    </row>
    <row r="7" spans="1:10" ht="120" customHeight="1">
      <c r="A7" s="9" t="s">
        <v>50</v>
      </c>
      <c r="B7" s="9" t="s">
        <v>41</v>
      </c>
      <c r="C7" s="9" t="s">
        <v>42</v>
      </c>
      <c r="D7" s="9" t="s">
        <v>43</v>
      </c>
      <c r="E7" s="9" t="s">
        <v>51</v>
      </c>
      <c r="F7" s="9" t="s">
        <v>45</v>
      </c>
      <c r="G7" s="9" t="s">
        <v>52</v>
      </c>
      <c r="H7" s="9" t="s">
        <v>53</v>
      </c>
      <c r="I7" s="5" t="s">
        <v>54</v>
      </c>
      <c r="J7" s="9" t="s">
        <v>49</v>
      </c>
    </row>
    <row r="8" spans="1:10" ht="120" customHeight="1">
      <c r="A8" s="9" t="s">
        <v>55</v>
      </c>
      <c r="B8" s="9" t="s">
        <v>41</v>
      </c>
      <c r="C8" s="9" t="s">
        <v>42</v>
      </c>
      <c r="D8" s="9" t="s">
        <v>56</v>
      </c>
      <c r="E8" s="9" t="s">
        <v>57</v>
      </c>
      <c r="F8" s="9" t="s">
        <v>45</v>
      </c>
      <c r="G8" s="9" t="s">
        <v>58</v>
      </c>
      <c r="H8" s="9" t="s">
        <v>59</v>
      </c>
      <c r="I8" s="5" t="s">
        <v>60</v>
      </c>
      <c r="J8" s="9" t="s">
        <v>49</v>
      </c>
    </row>
    <row r="9" spans="1:10" ht="120" customHeight="1">
      <c r="A9" s="9" t="s">
        <v>61</v>
      </c>
      <c r="B9" s="9" t="s">
        <v>41</v>
      </c>
      <c r="C9" s="9" t="s">
        <v>42</v>
      </c>
      <c r="D9" s="9" t="s">
        <v>56</v>
      </c>
      <c r="E9" s="9" t="s">
        <v>62</v>
      </c>
      <c r="F9" s="9" t="s">
        <v>45</v>
      </c>
      <c r="G9" s="9" t="s">
        <v>63</v>
      </c>
      <c r="H9" s="9" t="s">
        <v>64</v>
      </c>
      <c r="I9" s="5" t="s">
        <v>65</v>
      </c>
      <c r="J9" s="9" t="s">
        <v>49</v>
      </c>
    </row>
    <row r="10" spans="1:10" ht="120" customHeight="1">
      <c r="A10" s="9" t="s">
        <v>66</v>
      </c>
      <c r="B10" s="9" t="s">
        <v>41</v>
      </c>
      <c r="C10" s="9" t="s">
        <v>42</v>
      </c>
      <c r="D10" s="9" t="s">
        <v>67</v>
      </c>
      <c r="E10" s="9" t="s">
        <v>68</v>
      </c>
      <c r="F10" s="9" t="s">
        <v>45</v>
      </c>
      <c r="G10" s="9" t="s">
        <v>69</v>
      </c>
      <c r="H10" s="9" t="s">
        <v>70</v>
      </c>
      <c r="I10" s="5" t="s">
        <v>71</v>
      </c>
      <c r="J10" s="9" t="s">
        <v>49</v>
      </c>
    </row>
    <row r="11" spans="1:10" ht="120" customHeight="1">
      <c r="A11" s="9" t="s">
        <v>72</v>
      </c>
      <c r="B11" s="9" t="s">
        <v>41</v>
      </c>
      <c r="C11" s="9" t="s">
        <v>42</v>
      </c>
      <c r="D11" s="9" t="s">
        <v>73</v>
      </c>
      <c r="E11" s="9" t="s">
        <v>74</v>
      </c>
      <c r="F11" s="9" t="s">
        <v>45</v>
      </c>
      <c r="G11" s="9" t="s">
        <v>75</v>
      </c>
      <c r="H11" s="9" t="s">
        <v>76</v>
      </c>
      <c r="I11" s="5" t="s">
        <v>77</v>
      </c>
      <c r="J11" s="9" t="s">
        <v>49</v>
      </c>
    </row>
    <row r="12" spans="1:10" ht="120" customHeight="1">
      <c r="A12" s="9" t="s">
        <v>78</v>
      </c>
      <c r="B12" s="9" t="s">
        <v>41</v>
      </c>
      <c r="C12" s="9" t="s">
        <v>42</v>
      </c>
      <c r="D12" s="9" t="s">
        <v>79</v>
      </c>
      <c r="E12" s="9" t="s">
        <v>80</v>
      </c>
      <c r="F12" s="9" t="s">
        <v>45</v>
      </c>
      <c r="G12" s="9" t="s">
        <v>81</v>
      </c>
      <c r="H12" s="9" t="s">
        <v>82</v>
      </c>
      <c r="I12" s="5" t="s">
        <v>83</v>
      </c>
      <c r="J12" s="9" t="s">
        <v>49</v>
      </c>
    </row>
    <row r="13" spans="1:10" ht="120" customHeight="1">
      <c r="A13" s="9" t="s">
        <v>84</v>
      </c>
      <c r="B13" s="9" t="s">
        <v>41</v>
      </c>
      <c r="C13" s="9" t="s">
        <v>42</v>
      </c>
      <c r="D13" s="9" t="s">
        <v>85</v>
      </c>
      <c r="E13" s="9" t="s">
        <v>86</v>
      </c>
      <c r="F13" s="9" t="s">
        <v>45</v>
      </c>
      <c r="G13" s="9" t="s">
        <v>87</v>
      </c>
      <c r="H13" s="9" t="s">
        <v>88</v>
      </c>
      <c r="I13" s="5" t="s">
        <v>89</v>
      </c>
      <c r="J13" s="9" t="s">
        <v>49</v>
      </c>
    </row>
    <row r="14" spans="1:10" ht="120" customHeight="1">
      <c r="A14" s="9" t="s">
        <v>90</v>
      </c>
      <c r="B14" s="9" t="s">
        <v>41</v>
      </c>
      <c r="C14" s="9" t="s">
        <v>42</v>
      </c>
      <c r="D14" s="9" t="s">
        <v>85</v>
      </c>
      <c r="E14" s="9" t="s">
        <v>91</v>
      </c>
      <c r="F14" s="9" t="s">
        <v>45</v>
      </c>
      <c r="G14" s="9" t="s">
        <v>92</v>
      </c>
      <c r="H14" s="9" t="s">
        <v>93</v>
      </c>
      <c r="I14" s="5" t="s">
        <v>94</v>
      </c>
      <c r="J14" s="9" t="s">
        <v>49</v>
      </c>
    </row>
    <row r="15" spans="1:10" ht="120" customHeight="1">
      <c r="A15" s="9" t="s">
        <v>95</v>
      </c>
      <c r="B15" s="9" t="s">
        <v>41</v>
      </c>
      <c r="C15" s="9" t="s">
        <v>42</v>
      </c>
      <c r="D15" s="9" t="s">
        <v>96</v>
      </c>
      <c r="E15" s="9" t="s">
        <v>97</v>
      </c>
      <c r="F15" s="9" t="s">
        <v>45</v>
      </c>
      <c r="G15" s="9" t="s">
        <v>98</v>
      </c>
      <c r="H15" s="9" t="s">
        <v>99</v>
      </c>
      <c r="I15" s="5" t="s">
        <v>100</v>
      </c>
      <c r="J15" s="9" t="s">
        <v>49</v>
      </c>
    </row>
    <row r="16" spans="1:10" ht="120" customHeight="1">
      <c r="A16" s="9" t="s">
        <v>101</v>
      </c>
      <c r="B16" s="9" t="s">
        <v>41</v>
      </c>
      <c r="C16" s="9" t="s">
        <v>42</v>
      </c>
      <c r="D16" s="9" t="s">
        <v>102</v>
      </c>
      <c r="E16" s="9" t="s">
        <v>103</v>
      </c>
      <c r="F16" s="9" t="s">
        <v>45</v>
      </c>
      <c r="G16" s="9" t="s">
        <v>104</v>
      </c>
      <c r="H16" s="9" t="s">
        <v>105</v>
      </c>
      <c r="I16" s="5" t="s">
        <v>106</v>
      </c>
      <c r="J16" s="9" t="s">
        <v>49</v>
      </c>
    </row>
    <row r="17" spans="1:10" ht="120" customHeight="1">
      <c r="A17" s="9" t="s">
        <v>107</v>
      </c>
      <c r="B17" s="9" t="s">
        <v>41</v>
      </c>
      <c r="C17" s="9" t="s">
        <v>42</v>
      </c>
      <c r="D17" s="9" t="s">
        <v>108</v>
      </c>
      <c r="E17" s="9" t="s">
        <v>109</v>
      </c>
      <c r="F17" s="9" t="s">
        <v>45</v>
      </c>
      <c r="G17" s="9" t="s">
        <v>110</v>
      </c>
      <c r="H17" s="9" t="s">
        <v>111</v>
      </c>
      <c r="I17" s="5" t="s">
        <v>112</v>
      </c>
      <c r="J17" s="9" t="s">
        <v>49</v>
      </c>
    </row>
    <row r="18" spans="1:10" ht="120" customHeight="1">
      <c r="A18" s="9" t="s">
        <v>113</v>
      </c>
      <c r="B18" s="9" t="s">
        <v>41</v>
      </c>
      <c r="C18" s="9" t="s">
        <v>114</v>
      </c>
      <c r="D18" s="9" t="s">
        <v>85</v>
      </c>
      <c r="E18" s="9" t="s">
        <v>115</v>
      </c>
      <c r="F18" s="9" t="s">
        <v>45</v>
      </c>
      <c r="G18" s="9" t="s">
        <v>92</v>
      </c>
      <c r="H18" s="9" t="s">
        <v>116</v>
      </c>
      <c r="I18" s="5" t="s">
        <v>94</v>
      </c>
      <c r="J18" s="9" t="s">
        <v>117</v>
      </c>
    </row>
    <row r="19" spans="1:10" ht="120" customHeight="1">
      <c r="A19" s="9" t="s">
        <v>118</v>
      </c>
      <c r="B19" s="9" t="s">
        <v>41</v>
      </c>
      <c r="C19" s="9" t="s">
        <v>114</v>
      </c>
      <c r="D19" s="9" t="s">
        <v>85</v>
      </c>
      <c r="E19" s="9" t="s">
        <v>119</v>
      </c>
      <c r="F19" s="9" t="s">
        <v>45</v>
      </c>
      <c r="G19" s="9" t="s">
        <v>92</v>
      </c>
      <c r="H19" s="9" t="s">
        <v>120</v>
      </c>
      <c r="I19" s="5" t="s">
        <v>94</v>
      </c>
      <c r="J19" s="9" t="s">
        <v>117</v>
      </c>
    </row>
    <row r="20" spans="1:10" ht="120" customHeight="1">
      <c r="A20" s="9" t="s">
        <v>121</v>
      </c>
      <c r="B20" s="9" t="s">
        <v>41</v>
      </c>
      <c r="C20" s="9" t="s">
        <v>114</v>
      </c>
      <c r="D20" s="9" t="s">
        <v>85</v>
      </c>
      <c r="E20" s="9" t="s">
        <v>122</v>
      </c>
      <c r="F20" s="9" t="s">
        <v>45</v>
      </c>
      <c r="G20" s="9" t="s">
        <v>92</v>
      </c>
      <c r="H20" s="9" t="s">
        <v>123</v>
      </c>
      <c r="I20" s="5" t="s">
        <v>94</v>
      </c>
      <c r="J20" s="9" t="s">
        <v>117</v>
      </c>
    </row>
    <row r="21" spans="1:10" ht="120" customHeight="1">
      <c r="A21" s="9" t="s">
        <v>124</v>
      </c>
      <c r="B21" s="9" t="s">
        <v>41</v>
      </c>
      <c r="C21" s="9" t="s">
        <v>125</v>
      </c>
      <c r="D21" s="9" t="s">
        <v>85</v>
      </c>
      <c r="E21" s="9" t="s">
        <v>126</v>
      </c>
      <c r="F21" s="9" t="s">
        <v>45</v>
      </c>
      <c r="G21" s="9" t="s">
        <v>92</v>
      </c>
      <c r="H21" s="9" t="s">
        <v>127</v>
      </c>
      <c r="I21" s="5" t="s">
        <v>94</v>
      </c>
      <c r="J21" s="9" t="s">
        <v>117</v>
      </c>
    </row>
    <row r="22" spans="1:10" ht="120" customHeight="1">
      <c r="A22" s="9" t="s">
        <v>128</v>
      </c>
      <c r="B22" s="9" t="s">
        <v>41</v>
      </c>
      <c r="C22" s="9" t="s">
        <v>129</v>
      </c>
      <c r="D22" s="9" t="s">
        <v>43</v>
      </c>
      <c r="E22" s="9" t="s">
        <v>130</v>
      </c>
      <c r="F22" s="9" t="s">
        <v>45</v>
      </c>
      <c r="G22" s="9" t="s">
        <v>46</v>
      </c>
      <c r="H22" s="9" t="s">
        <v>131</v>
      </c>
      <c r="I22" s="5" t="s">
        <v>48</v>
      </c>
      <c r="J22" s="9" t="s">
        <v>117</v>
      </c>
    </row>
    <row r="23" spans="1:10" ht="120" customHeight="1">
      <c r="A23" s="9" t="s">
        <v>132</v>
      </c>
      <c r="B23" s="9" t="s">
        <v>41</v>
      </c>
      <c r="C23" s="9" t="s">
        <v>133</v>
      </c>
      <c r="D23" s="9" t="s">
        <v>134</v>
      </c>
      <c r="E23" s="9" t="s">
        <v>135</v>
      </c>
      <c r="F23" s="9" t="s">
        <v>136</v>
      </c>
      <c r="G23" s="9" t="s">
        <v>137</v>
      </c>
      <c r="H23" s="9" t="s">
        <v>138</v>
      </c>
      <c r="I23" s="9" t="s">
        <v>137</v>
      </c>
      <c r="J23" s="9" t="s">
        <v>117</v>
      </c>
    </row>
    <row r="24" spans="1:10" ht="120" customHeight="1">
      <c r="A24" s="9" t="s">
        <v>139</v>
      </c>
      <c r="B24" s="9" t="s">
        <v>41</v>
      </c>
      <c r="C24" s="9" t="s">
        <v>133</v>
      </c>
      <c r="D24" s="9" t="s">
        <v>134</v>
      </c>
      <c r="E24" s="9" t="s">
        <v>140</v>
      </c>
      <c r="F24" s="9" t="s">
        <v>136</v>
      </c>
      <c r="G24" s="9" t="s">
        <v>137</v>
      </c>
      <c r="H24" s="9" t="s">
        <v>141</v>
      </c>
      <c r="I24" s="9" t="s">
        <v>137</v>
      </c>
      <c r="J24" s="9" t="s">
        <v>117</v>
      </c>
    </row>
    <row r="25" spans="1:10" ht="120" customHeight="1">
      <c r="A25" s="9" t="s">
        <v>142</v>
      </c>
      <c r="B25" s="9" t="s">
        <v>41</v>
      </c>
      <c r="C25" s="9" t="s">
        <v>143</v>
      </c>
      <c r="D25" s="9" t="s">
        <v>144</v>
      </c>
      <c r="E25" s="9" t="s">
        <v>145</v>
      </c>
      <c r="F25" s="9" t="s">
        <v>136</v>
      </c>
      <c r="G25" s="9" t="s">
        <v>137</v>
      </c>
      <c r="H25" s="9" t="s">
        <v>146</v>
      </c>
      <c r="I25" s="9" t="s">
        <v>137</v>
      </c>
      <c r="J25" s="9" t="s">
        <v>117</v>
      </c>
    </row>
  </sheetData>
  <mergeCells count="2">
    <mergeCell ref="A1:J1"/>
    <mergeCell ref="A2:J3"/>
  </mergeCells>
  <dataValidations count="2">
    <dataValidation type="list" allowBlank="1" showInputMessage="1" showErrorMessage="1" errorTitle="Choose a listed value" error="Use the dropdown so the scoring formulas can interpret the review." promptTitle="Reviewer input" prompt="Choose a value from the list." sqref="B6:B205">
      <formula1>"Development,Held-out"</formula1>
    </dataValidation>
    <dataValidation type="list" allowBlank="1" showInputMessage="1" showErrorMessage="1" errorTitle="Choose a listed value" error="Use the dropdown so the scoring formulas can interpret the review." promptTitle="Reviewer input" prompt="Choose a value from the list." sqref="F6:F205">
      <formula1>"Answered,Clarification or abstention"</formula1>
    </dataValidation>
  </dataValidations>
  <hyperlinks>
    <hyperlink ref="I6" r:id="rId1"/>
    <hyperlink ref="I7" r:id="rId2"/>
    <hyperlink ref="I8" r:id="rId3"/>
    <hyperlink ref="I9" r:id="rId4"/>
    <hyperlink ref="I10" r:id="rId5"/>
    <hyperlink ref="I11" r:id="rId6"/>
    <hyperlink ref="I12" r:id="rId7"/>
    <hyperlink ref="I13" r:id="rId8"/>
    <hyperlink ref="I14" r:id="rId9"/>
    <hyperlink ref="I15" r:id="rId10"/>
    <hyperlink ref="I16" r:id="rId11"/>
    <hyperlink ref="I17" r:id="rId12"/>
    <hyperlink ref="I18" r:id="rId13"/>
    <hyperlink ref="I19" r:id="rId14"/>
    <hyperlink ref="I20" r:id="rId15"/>
    <hyperlink ref="I21" r:id="rId16"/>
    <hyperlink ref="I22" r:id="rId17"/>
  </hyperlinks>
  <pageMargins left="0.7" right="0.7" top="0.75" bottom="0.75" header="0.3" footer="0.3"/>
  <pageSetup paperSize="9" fitToHeight="0" orientation="landscape"/>
  <tableParts count="1">
    <tablePart r:id="rId18"/>
  </tableParts>
</worksheet>
</file>

<file path=xl/worksheets/sheet4.xml><?xml version="1.0" encoding="utf-8"?>
<worksheet xmlns="http://schemas.openxmlformats.org/spreadsheetml/2006/main" xmlns:r="http://schemas.openxmlformats.org/officeDocument/2006/relationships">
  <sheetPr>
    <tabColor rgb="FF087F8C"/>
    <pageSetUpPr fitToPage="1"/>
  </sheetPr>
  <dimension ref="A1:X2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outlineLevelCol="1"/>
  <cols>
    <col min="1" max="2" width="14.7109375" style="9" customWidth="1"/>
    <col min="3" max="3" width="17.7109375" style="11" customWidth="1"/>
    <col min="4" max="4" width="55.7109375" style="11" customWidth="1"/>
    <col min="5" max="8" width="24.7109375" style="9" hidden="1" customWidth="1" outlineLevel="1"/>
    <col min="9" max="9" width="68.7109375" style="9" customWidth="1" collapsed="1"/>
    <col min="10" max="10" width="68.7109375" style="9" customWidth="1"/>
    <col min="11" max="12" width="23.7109375" style="9" customWidth="1"/>
    <col min="13" max="17" width="15.7109375" style="11" customWidth="1"/>
    <col min="18" max="18" width="17.7109375" style="12" customWidth="1"/>
    <col min="19" max="19" width="25.7109375" style="11" customWidth="1"/>
    <col min="20" max="20" width="20.7109375" style="9" customWidth="1"/>
    <col min="21" max="21" width="40.7109375" style="9" customWidth="1"/>
    <col min="22" max="23" width="55.7109375" style="11" customWidth="1"/>
    <col min="24" max="24" width="25.7109375" style="9" customWidth="1"/>
  </cols>
  <sheetData>
    <row r="1" spans="1:24" ht="33" customHeight="1">
      <c r="A1" s="1" t="s">
        <v>204</v>
      </c>
      <c r="B1" s="1"/>
      <c r="C1" s="1"/>
      <c r="D1" s="1"/>
      <c r="E1" s="1"/>
      <c r="F1" s="1"/>
      <c r="G1" s="1"/>
      <c r="H1" s="1"/>
      <c r="I1" s="1"/>
      <c r="J1" s="1"/>
      <c r="K1" s="1"/>
      <c r="L1" s="1"/>
      <c r="M1" s="1"/>
      <c r="N1" s="1"/>
      <c r="O1" s="1"/>
      <c r="P1" s="1"/>
      <c r="Q1" s="1"/>
      <c r="R1" s="1"/>
      <c r="S1" s="1"/>
      <c r="T1" s="1"/>
      <c r="U1" s="1"/>
      <c r="V1" s="1"/>
      <c r="W1" s="1"/>
      <c r="X1" s="1"/>
    </row>
    <row r="2" spans="1:24" ht="22" customHeight="1">
      <c r="A2" s="2" t="s">
        <v>205</v>
      </c>
      <c r="B2" s="2"/>
      <c r="C2" s="2"/>
      <c r="D2" s="2"/>
      <c r="E2" s="2"/>
      <c r="F2" s="2"/>
      <c r="G2" s="2"/>
      <c r="H2" s="2"/>
      <c r="I2" s="2"/>
      <c r="J2" s="2"/>
      <c r="K2" s="2"/>
      <c r="L2" s="2"/>
      <c r="M2" s="2"/>
      <c r="N2" s="2"/>
      <c r="O2" s="2"/>
      <c r="P2" s="2"/>
      <c r="Q2" s="2"/>
      <c r="R2" s="2"/>
      <c r="S2" s="2"/>
      <c r="T2" s="2"/>
      <c r="U2" s="2"/>
      <c r="V2" s="2"/>
      <c r="W2" s="2"/>
      <c r="X2" s="2"/>
    </row>
    <row r="3" spans="1:24" ht="22" customHeight="1">
      <c r="A3" s="2"/>
      <c r="B3" s="2"/>
      <c r="C3" s="2"/>
      <c r="D3" s="2"/>
      <c r="E3" s="2"/>
      <c r="F3" s="2"/>
      <c r="G3" s="2"/>
      <c r="H3" s="2"/>
      <c r="I3" s="2"/>
      <c r="J3" s="2"/>
      <c r="K3" s="2"/>
      <c r="L3" s="2"/>
      <c r="M3" s="2"/>
      <c r="N3" s="2"/>
      <c r="O3" s="2"/>
      <c r="P3" s="2"/>
      <c r="Q3" s="2"/>
      <c r="R3" s="2"/>
      <c r="S3" s="2"/>
      <c r="T3" s="2"/>
      <c r="U3" s="2"/>
      <c r="V3" s="2"/>
      <c r="W3" s="2"/>
      <c r="X3" s="2"/>
    </row>
    <row r="5" spans="1:24" ht="38" customHeight="1">
      <c r="A5" s="10" t="s">
        <v>193</v>
      </c>
      <c r="B5" s="10" t="s">
        <v>30</v>
      </c>
      <c r="C5" s="10" t="s">
        <v>31</v>
      </c>
      <c r="D5" s="10" t="s">
        <v>34</v>
      </c>
      <c r="E5" s="10" t="s">
        <v>206</v>
      </c>
      <c r="F5" s="10" t="s">
        <v>207</v>
      </c>
      <c r="G5" s="10" t="s">
        <v>208</v>
      </c>
      <c r="H5" s="10" t="s">
        <v>209</v>
      </c>
      <c r="I5" s="10" t="s">
        <v>210</v>
      </c>
      <c r="J5" s="10" t="s">
        <v>211</v>
      </c>
      <c r="K5" s="10" t="s">
        <v>212</v>
      </c>
      <c r="L5" s="10" t="s">
        <v>213</v>
      </c>
      <c r="M5" s="10" t="s">
        <v>214</v>
      </c>
      <c r="N5" s="10" t="s">
        <v>215</v>
      </c>
      <c r="O5" s="10" t="s">
        <v>216</v>
      </c>
      <c r="P5" s="10" t="s">
        <v>217</v>
      </c>
      <c r="Q5" s="10" t="s">
        <v>218</v>
      </c>
      <c r="R5" s="10" t="s">
        <v>219</v>
      </c>
      <c r="S5" s="10" t="s">
        <v>220</v>
      </c>
      <c r="T5" s="10" t="s">
        <v>201</v>
      </c>
      <c r="U5" s="10" t="s">
        <v>221</v>
      </c>
      <c r="V5" s="10" t="s">
        <v>36</v>
      </c>
      <c r="W5" s="10" t="s">
        <v>222</v>
      </c>
      <c r="X5" s="10" t="s">
        <v>223</v>
      </c>
    </row>
    <row r="6" spans="1:24" ht="85" customHeight="1">
      <c r="A6" s="9" t="s">
        <v>224</v>
      </c>
      <c r="B6" s="9" t="s">
        <v>40</v>
      </c>
      <c r="C6" s="11" t="str">
        <f>IF(B6="","",IFERROR(VLOOKUP(B6,'Test Cases'!$A$6:$J$205,2,FALSE),"Unknown Test ID"))</f>
        <v>Development</v>
      </c>
      <c r="D6" s="11" t="str">
        <f>IF(B6="","",IFERROR(VLOOKUP(B6,'Test Cases'!$A$6:$J$205,5,FALSE),"Unknown Test ID"))</f>
        <v>payments-api /charge returns 5xx errors and Stripe requests time out. What should I check, what conditional remediation applies, and when should I escalate?</v>
      </c>
      <c r="M6" s="11">
        <f>IF(A6="","",COUNTIFS('Claim Review'!$A$6:$A$2005,A6,'Claim Review'!$C$6:$C$2005,"&lt;&gt;",'Claim Review'!$G$6:$G$2005,"Wrong citation")+COUNTIFS('Claim Review'!$A$6:$A$2005,A6,'Claim Review'!$C$6:$C$2005,"&lt;&gt;",'Claim Review'!$G$6:$G$2005,"Missing citation"))</f>
        <v>0</v>
      </c>
      <c r="N6" s="11">
        <f>IF(A6="","",COUNTIFS('Claim Review'!$A$6:$A$2005,A6,'Claim Review'!$C$6:$C$2005,"&lt;&gt;",'Claim Review'!$H$6:$H$2005,"Yes"))</f>
        <v>0</v>
      </c>
      <c r="O6" s="11">
        <f>IF(A6="","",COUNTIFS('Claim Review'!$A$6:$A$2005,A6,'Claim Review'!$C$6:$C$2005,"&lt;&gt;"))</f>
        <v>0</v>
      </c>
      <c r="P6" s="11">
        <f>IF(A6="","",COUNTIFS('Claim Review'!$A$6:$A$2005,A6,'Claim Review'!$C$6:$C$2005,"&lt;&gt;",'Claim Review'!$F$6:$F$2005,"Supported"))</f>
        <v>0</v>
      </c>
      <c r="Q6" s="11">
        <f>IF(A6="","",O6-COUNTIFS('Claim Review'!$A$6:$A$2005,A6,'Claim Review'!$C$6:$C$2005,"&lt;&gt;",'Claim Review'!$K$6:$K$2005,"Yes"))</f>
        <v>0</v>
      </c>
      <c r="R6" s="12">
        <f>IF(AND(A6&lt;&gt;"",COUNTIF($A$6:$A$205,A6)=1,COUNTIF('Test Cases'!$A$6:$A$205,B6)=1,I6&lt;&gt;"",J6&lt;&gt;"",OR(K6="Answered",K6="Clarification",K6="Abstained"),X6="Yes",T6&lt;&gt;"",O6&gt;0,Q6=0),P6/MAX(1,O6),"")</f>
        <v/>
      </c>
      <c r="S6" s="11" t="str">
        <f>IF(A6="","",IF(AND(J6="",K6=""),"Pending",IF(COUNTIF($A$6:$A$205,A6)&lt;&gt;1,"Duplicate Run ID",IF(COUNTIF('Test Cases'!$A$6:$A$205,B6)&lt;&gt;1,"Check Test ID",IF(K6="Error","FAIL",IF(OR(I6="",J6=""),"Needs evidence / answer",IF(NOT(OR(K6="Answered",K6="Clarification",K6="Abstained")),"Choose outcome",IF(X6&lt;&gt;"Yes","Confirm claim inventory",IF(AND(K6="Answered",O6=0),"Needs claims",IF(Q6&gt;0,"Needs claim review",IF(OR(NOT(OR(L6="Yes",L6="No")),T6=""),"Needs response review",IF(OR(L6="No",M6&gt;0,N6&gt;0,AND(ISNUMBER(R6),R6&lt;Dashboard!$B$5)),"FAIL","PASS"))))))))))))</f>
        <v>Pending</v>
      </c>
      <c r="V6" s="11" t="str">
        <f>IF(B6="","",IFERROR(VLOOKUP(B6,'Test Cases'!$A$6:$J$205,7,FALSE),"Unknown Test ID"))</f>
        <v>RB-001</v>
      </c>
      <c r="W6" s="11" t="str">
        <f>IF(B6="","",IFERROR(VLOOKUP(B6,'Test Cases'!$A$6:$J$205,8,FALSE),"Unknown Test ID"))</f>
        <v>**Service:** payments-api | **Owner:** payments team | **Typical severity:** SEV2 (SEV1 if &gt;50% of charges failing)
## Symptoms
- Alert: "payments-api 5xx rate above 5% for 5 minutes"
- Logs show "502 upstream prematurely closed connection" and "stripe request timeout after 3000ms"
- Checkout failures rise in proportion to the error rate
## First checks
1. `kubectl rollout status deploy/payments-api -n prod` and `kubectl get pods -n prod -l app=payments-api`
2. Was there a deploy in the last 30 minutes? Check the deploy feed first.
3. Check status.stripe.com for an active Stripe incident.
4. Look at the orders DB connection pool (see RB-009 if saturated).
## Diagnosis
- Errors started within 10 minutes of a deploy: assume bad release until proven otherwise.
- Only /charge failing and Stripe status degraded: downstream provider issue, not us.
- 503s with "no healthy upstream": connection pool or target pod problem.
## Remediation
1. Bad deploy: `kubectl rollout undo deploy/payments-api -n prod`
2. Stripe degraded: enable queued-charge mode (`payments.queue_mode=true`) so charges retry asynchronously instead of failing at checkout.
3. Pool saturation: follow RB-009.
## Escalation
Escalate to the payments on-call lead if the error rate is above 20% or not resolved within 15 minutes. Declare SEV1 if more than 50% of charges are failing.
## After resolution
Confirm the error rate stays below 0.5% for 15 minutes before closing the incident.
</v>
      </c>
    </row>
    <row r="7" spans="1:24" ht="85" customHeight="1">
      <c r="A7" s="9" t="s">
        <v>225</v>
      </c>
      <c r="B7" s="9" t="s">
        <v>50</v>
      </c>
      <c r="C7" s="11" t="str">
        <f>IF(B7="","",IFERROR(VLOOKUP(B7,'Test Cases'!$A$6:$J$205,2,FALSE),"Unknown Test ID"))</f>
        <v>Development</v>
      </c>
      <c r="D7" s="11" t="str">
        <f>IF(B7="","",IFERROR(VLOOKUP(B7,'Test Cases'!$A$6:$J$205,5,FALSE),"Unknown Test ID"))</f>
        <v>The webhooks-inbound queue is above 10,000 and rising, with delivery failures going to the DLQ. What should I check, how should I recover, and when should I escalate?</v>
      </c>
      <c r="M7" s="11">
        <f>IF(A7="","",COUNTIFS('Claim Review'!$A$6:$A$2005,A7,'Claim Review'!$C$6:$C$2005,"&lt;&gt;",'Claim Review'!$G$6:$G$2005,"Wrong citation")+COUNTIFS('Claim Review'!$A$6:$A$2005,A7,'Claim Review'!$C$6:$C$2005,"&lt;&gt;",'Claim Review'!$G$6:$G$2005,"Missing citation"))</f>
        <v>0</v>
      </c>
      <c r="N7" s="11">
        <f>IF(A7="","",COUNTIFS('Claim Review'!$A$6:$A$2005,A7,'Claim Review'!$C$6:$C$2005,"&lt;&gt;",'Claim Review'!$H$6:$H$2005,"Yes"))</f>
        <v>0</v>
      </c>
      <c r="O7" s="11">
        <f>IF(A7="","",COUNTIFS('Claim Review'!$A$6:$A$2005,A7,'Claim Review'!$C$6:$C$2005,"&lt;&gt;"))</f>
        <v>0</v>
      </c>
      <c r="P7" s="11">
        <f>IF(A7="","",COUNTIFS('Claim Review'!$A$6:$A$2005,A7,'Claim Review'!$C$6:$C$2005,"&lt;&gt;",'Claim Review'!$F$6:$F$2005,"Supported"))</f>
        <v>0</v>
      </c>
      <c r="Q7" s="11">
        <f>IF(A7="","",O7-COUNTIFS('Claim Review'!$A$6:$A$2005,A7,'Claim Review'!$C$6:$C$2005,"&lt;&gt;",'Claim Review'!$K$6:$K$2005,"Yes"))</f>
        <v>0</v>
      </c>
      <c r="R7" s="12">
        <f>IF(AND(A7&lt;&gt;"",COUNTIF($A$6:$A$205,A7)=1,COUNTIF('Test Cases'!$A$6:$A$205,B7)=1,I7&lt;&gt;"",J7&lt;&gt;"",OR(K7="Answered",K7="Clarification",K7="Abstained"),X7="Yes",T7&lt;&gt;"",O7&gt;0,Q7=0),P7/MAX(1,O7),"")</f>
        <v/>
      </c>
      <c r="S7" s="11" t="str">
        <f>IF(A7="","",IF(AND(J7="",K7=""),"Pending",IF(COUNTIF($A$6:$A$205,A7)&lt;&gt;1,"Duplicate Run ID",IF(COUNTIF('Test Cases'!$A$6:$A$205,B7)&lt;&gt;1,"Check Test ID",IF(K7="Error","FAIL",IF(OR(I7="",J7=""),"Needs evidence / answer",IF(NOT(OR(K7="Answered",K7="Clarification",K7="Abstained")),"Choose outcome",IF(X7&lt;&gt;"Yes","Confirm claim inventory",IF(AND(K7="Answered",O7=0),"Needs claims",IF(Q7&gt;0,"Needs claim review",IF(OR(NOT(OR(L7="Yes",L7="No")),T7=""),"Needs response review",IF(OR(L7="No",M7&gt;0,N7&gt;0,AND(ISNUMBER(R7),R7&lt;Dashboard!$B$5)),"FAIL","PASS"))))))))))))</f>
        <v>Pending</v>
      </c>
      <c r="V7" s="11" t="str">
        <f>IF(B7="","",IFERROR(VLOOKUP(B7,'Test Cases'!$A$6:$J$205,7,FALSE),"Unknown Test ID"))</f>
        <v>RB-002</v>
      </c>
      <c r="W7" s="11" t="str">
        <f>IF(B7="","",IFERROR(VLOOKUP(B7,'Test Cases'!$A$6:$J$205,8,FALSE),"Unknown Test ID"))</f>
        <v>**Service:** payments-api | **Owner:** payments team | **Typical severity:** SEV3 (SEV2 if backlog &gt; 50,000)
## Symptoms
- Queue "webhooks-inbound" depth above 10,000 and rising
- Consumer lag growing; downstream order and inventory states go stale
- Logs show "delivery attempt 8 failed, moving to DLQ"
## First checks
1. `kubectl get pods -n prod -l app=webhook-consumer` - look for CrashLoopBackOff
2. Check whether the same message_id is stuck at the head of the queue (poison message)
3. Check the downstream endpoint's own error rate
## Diagnosis
- Consumer crash-looping: usually a bad deploy or a config change.
- One message retried forever: poison message blocking the partition.
- Downstream endpoint returning 500s: fix the downstream service first, not the consumer.
## Remediation
1. Fix or roll back the consumer deploy.
2. Move the poison message to the DLQ manually, note its message_id in the incident timeline.
3. Scale consumers: `kubectl scale deploy/webhook-consumer -n prod --replicas=6`
4. Replay the DLQ only after the root cause is fixed. Webhook handlers are idempotent on event_id - verify the consumer checks event_id before replaying.
## Escalation
SEV2 if the backlog exceeds 50,000 or customer-visible order states are wrong.
</v>
      </c>
    </row>
    <row r="8" spans="1:24" ht="85" customHeight="1">
      <c r="A8" s="9" t="s">
        <v>226</v>
      </c>
      <c r="B8" s="9" t="s">
        <v>55</v>
      </c>
      <c r="C8" s="11" t="str">
        <f>IF(B8="","",IFERROR(VLOOKUP(B8,'Test Cases'!$A$6:$J$205,2,FALSE),"Unknown Test ID"))</f>
        <v>Development</v>
      </c>
      <c r="D8" s="11" t="str">
        <f>IF(B8="","",IFERROR(VLOOKUP(B8,'Test Cases'!$A$6:$J$205,5,FALSE),"Unknown Test ID"))</f>
        <v>SSO login success is below 90%, with SAML signature validation failures. What should I check, what remediation applies, and when should I escalate?</v>
      </c>
      <c r="M8" s="11">
        <f>IF(A8="","",COUNTIFS('Claim Review'!$A$6:$A$2005,A8,'Claim Review'!$C$6:$C$2005,"&lt;&gt;",'Claim Review'!$G$6:$G$2005,"Wrong citation")+COUNTIFS('Claim Review'!$A$6:$A$2005,A8,'Claim Review'!$C$6:$C$2005,"&lt;&gt;",'Claim Review'!$G$6:$G$2005,"Missing citation"))</f>
        <v>0</v>
      </c>
      <c r="N8" s="11">
        <f>IF(A8="","",COUNTIFS('Claim Review'!$A$6:$A$2005,A8,'Claim Review'!$C$6:$C$2005,"&lt;&gt;",'Claim Review'!$H$6:$H$2005,"Yes"))</f>
        <v>0</v>
      </c>
      <c r="O8" s="11">
        <f>IF(A8="","",COUNTIFS('Claim Review'!$A$6:$A$2005,A8,'Claim Review'!$C$6:$C$2005,"&lt;&gt;"))</f>
        <v>0</v>
      </c>
      <c r="P8" s="11">
        <f>IF(A8="","",COUNTIFS('Claim Review'!$A$6:$A$2005,A8,'Claim Review'!$C$6:$C$2005,"&lt;&gt;",'Claim Review'!$F$6:$F$2005,"Supported"))</f>
        <v>0</v>
      </c>
      <c r="Q8" s="11">
        <f>IF(A8="","",O8-COUNTIFS('Claim Review'!$A$6:$A$2005,A8,'Claim Review'!$C$6:$C$2005,"&lt;&gt;",'Claim Review'!$K$6:$K$2005,"Yes"))</f>
        <v>0</v>
      </c>
      <c r="R8" s="12">
        <f>IF(AND(A8&lt;&gt;"",COUNTIF($A$6:$A$205,A8)=1,COUNTIF('Test Cases'!$A$6:$A$205,B8)=1,I8&lt;&gt;"",J8&lt;&gt;"",OR(K8="Answered",K8="Clarification",K8="Abstained"),X8="Yes",T8&lt;&gt;"",O8&gt;0,Q8=0),P8/MAX(1,O8),"")</f>
        <v/>
      </c>
      <c r="S8" s="11" t="str">
        <f>IF(A8="","",IF(AND(J8="",K8=""),"Pending",IF(COUNTIF($A$6:$A$205,A8)&lt;&gt;1,"Duplicate Run ID",IF(COUNTIF('Test Cases'!$A$6:$A$205,B8)&lt;&gt;1,"Check Test ID",IF(K8="Error","FAIL",IF(OR(I8="",J8=""),"Needs evidence / answer",IF(NOT(OR(K8="Answered",K8="Clarification",K8="Abstained")),"Choose outcome",IF(X8&lt;&gt;"Yes","Confirm claim inventory",IF(AND(K8="Answered",O8=0),"Needs claims",IF(Q8&gt;0,"Needs claim review",IF(OR(NOT(OR(L8="Yes",L8="No")),T8=""),"Needs response review",IF(OR(L8="No",M8&gt;0,N8&gt;0,AND(ISNUMBER(R8),R8&lt;Dashboard!$B$5)),"FAIL","PASS"))))))))))))</f>
        <v>Pending</v>
      </c>
      <c r="V8" s="11" t="str">
        <f>IF(B8="","",IFERROR(VLOOKUP(B8,'Test Cases'!$A$6:$J$205,7,FALSE),"Unknown Test ID"))</f>
        <v>RB-003</v>
      </c>
      <c r="W8" s="11" t="str">
        <f>IF(B8="","",IFERROR(VLOOKUP(B8,'Test Cases'!$A$6:$J$205,8,FALSE),"Unknown Test ID"))</f>
        <v>**Service:** auth-service | **Owner:** identity team | **Typical severity:** SEV1 if all SSO logins fail
## Symptoms
- Login success rate below 90%
- Errors: "SAML signature validation failed" and "OIDC discovery document fetch failed"
## First checks
1. Fetch the IdP discovery document: `curl https://idp.example.com/.well-known/openid-configuration`
2. Compare the IdP signing certificate fingerprint against the configured metadata.
3. Check node clock drift: `chronyc tracking` - drift above 30 seconds breaks token validation.
## Diagnosis
- Most common cause: the IdP rotated its signing certificate and our cached metadata is stale.
- Discovery fetch failing: IdP outage or a network/DNS change on our side.
- Signature failures plus clock drift: fix NTP before touching metadata.
## Remediation
1. Refresh IdP metadata from the admin console: Identity Providers -&gt; Reload metadata.
2. Clear cached keys: `kubectl rollout restart deploy/auth-service -n prod`
3. If the IdP is down, post the status page notice and wait - do not bypass signature checks.
## Escalation
SEV1 if all SSO logins are failing (workforce lockout). Page the identity on-call lead immediately.
</v>
      </c>
    </row>
    <row r="9" spans="1:24" ht="85" customHeight="1">
      <c r="A9" s="9" t="s">
        <v>227</v>
      </c>
      <c r="B9" s="9" t="s">
        <v>61</v>
      </c>
      <c r="C9" s="11" t="str">
        <f>IF(B9="","",IFERROR(VLOOKUP(B9,'Test Cases'!$A$6:$J$205,2,FALSE),"Unknown Test ID"))</f>
        <v>Development</v>
      </c>
      <c r="D9" s="11" t="str">
        <f>IF(B9="","",IFERROR(VLOOKUP(B9,'Test Cases'!$A$6:$J$205,5,FALSE),"Unknown Test ID"))</f>
        <v>Users are not receiving MFA push prompts and approval latency exceeds 60 seconds. What should I check, what workaround applies, and when should I escalate?</v>
      </c>
      <c r="M9" s="11">
        <f>IF(A9="","",COUNTIFS('Claim Review'!$A$6:$A$2005,A9,'Claim Review'!$C$6:$C$2005,"&lt;&gt;",'Claim Review'!$G$6:$G$2005,"Wrong citation")+COUNTIFS('Claim Review'!$A$6:$A$2005,A9,'Claim Review'!$C$6:$C$2005,"&lt;&gt;",'Claim Review'!$G$6:$G$2005,"Missing citation"))</f>
        <v>0</v>
      </c>
      <c r="N9" s="11">
        <f>IF(A9="","",COUNTIFS('Claim Review'!$A$6:$A$2005,A9,'Claim Review'!$C$6:$C$2005,"&lt;&gt;",'Claim Review'!$H$6:$H$2005,"Yes"))</f>
        <v>0</v>
      </c>
      <c r="O9" s="11">
        <f>IF(A9="","",COUNTIFS('Claim Review'!$A$6:$A$2005,A9,'Claim Review'!$C$6:$C$2005,"&lt;&gt;"))</f>
        <v>0</v>
      </c>
      <c r="P9" s="11">
        <f>IF(A9="","",COUNTIFS('Claim Review'!$A$6:$A$2005,A9,'Claim Review'!$C$6:$C$2005,"&lt;&gt;",'Claim Review'!$F$6:$F$2005,"Supported"))</f>
        <v>0</v>
      </c>
      <c r="Q9" s="11">
        <f>IF(A9="","",O9-COUNTIFS('Claim Review'!$A$6:$A$2005,A9,'Claim Review'!$C$6:$C$2005,"&lt;&gt;",'Claim Review'!$K$6:$K$2005,"Yes"))</f>
        <v>0</v>
      </c>
      <c r="R9" s="12">
        <f>IF(AND(A9&lt;&gt;"",COUNTIF($A$6:$A$205,A9)=1,COUNTIF('Test Cases'!$A$6:$A$205,B9)=1,I9&lt;&gt;"",J9&lt;&gt;"",OR(K9="Answered",K9="Clarification",K9="Abstained"),X9="Yes",T9&lt;&gt;"",O9&gt;0,Q9=0),P9/MAX(1,O9),"")</f>
        <v/>
      </c>
      <c r="S9" s="11" t="str">
        <f>IF(A9="","",IF(AND(J9="",K9=""),"Pending",IF(COUNTIF($A$6:$A$205,A9)&lt;&gt;1,"Duplicate Run ID",IF(COUNTIF('Test Cases'!$A$6:$A$205,B9)&lt;&gt;1,"Check Test ID",IF(K9="Error","FAIL",IF(OR(I9="",J9=""),"Needs evidence / answer",IF(NOT(OR(K9="Answered",K9="Clarification",K9="Abstained")),"Choose outcome",IF(X9&lt;&gt;"Yes","Confirm claim inventory",IF(AND(K9="Answered",O9=0),"Needs claims",IF(Q9&gt;0,"Needs claim review",IF(OR(NOT(OR(L9="Yes",L9="No")),T9=""),"Needs response review",IF(OR(L9="No",M9&gt;0,N9&gt;0,AND(ISNUMBER(R9),R9&lt;Dashboard!$B$5)),"FAIL","PASS"))))))))))))</f>
        <v>Pending</v>
      </c>
      <c r="V9" s="11" t="str">
        <f>IF(B9="","",IFERROR(VLOOKUP(B9,'Test Cases'!$A$6:$J$205,7,FALSE),"Unknown Test ID"))</f>
        <v>RB-004</v>
      </c>
      <c r="W9" s="11" t="str">
        <f>IF(B9="","",IFERROR(VLOOKUP(B9,'Test Cases'!$A$6:$J$205,8,FALSE),"Unknown Test ID"))</f>
        <v>**Service:** auth-service | **Owner:** identity team | **Typical severity:** SEV3 (SEV2 if &gt;30 minutes)
## Symptoms
- Push approval latency above 60 seconds, or failures with "push token revoked"
- Users report not receiving MFA prompts
## First checks
1. Check the push vendor status page (APNs/FCM relay provider).
2. Token revocation rate split by platform: iOS vs Android.
3. Confirm TOTP (authenticator app) logins are unaffected.
## Diagnosis
- One platform only: platform gateway or vendor-side issue.
- Both platforms: our notification service or vendor account throttling.
## Remediation
1. Advise users to fall back to authenticator app (TOTP) codes - use the comms template in the incident channel.
2. If single-platform, open a vendor ticket with sample device tokens and timestamps.
3. Never disable or weaken MFA to "fix" delivery problems.
## Escalation
Identity lead plus a vendor P1 ticket if degradation lasts more than 30 minutes or blocks a SEV1/SEV2 response.
</v>
      </c>
    </row>
    <row r="10" spans="1:24" ht="85" customHeight="1">
      <c r="A10" s="9" t="s">
        <v>228</v>
      </c>
      <c r="B10" s="9" t="s">
        <v>66</v>
      </c>
      <c r="C10" s="11" t="str">
        <f>IF(B10="","",IFERROR(VLOOKUP(B10,'Test Cases'!$A$6:$J$205,2,FALSE),"Unknown Test ID"))</f>
        <v>Development</v>
      </c>
      <c r="D10" s="11" t="str">
        <f>IF(B10="","",IFERROR(VLOOKUP(B10,'Test Cases'!$A$6:$J$205,5,FALSE),"Unknown Test ID"))</f>
        <v>The indexer-nightly job is stalled and logs show mapper_parsing_exception. What should I check, how should I recover, and when should I escalate?</v>
      </c>
      <c r="M10" s="11">
        <f>IF(A10="","",COUNTIFS('Claim Review'!$A$6:$A$2005,A10,'Claim Review'!$C$6:$C$2005,"&lt;&gt;",'Claim Review'!$G$6:$G$2005,"Wrong citation")+COUNTIFS('Claim Review'!$A$6:$A$2005,A10,'Claim Review'!$C$6:$C$2005,"&lt;&gt;",'Claim Review'!$G$6:$G$2005,"Missing citation"))</f>
        <v>0</v>
      </c>
      <c r="N10" s="11">
        <f>IF(A10="","",COUNTIFS('Claim Review'!$A$6:$A$2005,A10,'Claim Review'!$C$6:$C$2005,"&lt;&gt;",'Claim Review'!$H$6:$H$2005,"Yes"))</f>
        <v>0</v>
      </c>
      <c r="O10" s="11">
        <f>IF(A10="","",COUNTIFS('Claim Review'!$A$6:$A$2005,A10,'Claim Review'!$C$6:$C$2005,"&lt;&gt;"))</f>
        <v>0</v>
      </c>
      <c r="P10" s="11">
        <f>IF(A10="","",COUNTIFS('Claim Review'!$A$6:$A$2005,A10,'Claim Review'!$C$6:$C$2005,"&lt;&gt;",'Claim Review'!$F$6:$F$2005,"Supported"))</f>
        <v>0</v>
      </c>
      <c r="Q10" s="11">
        <f>IF(A10="","",O10-COUNTIFS('Claim Review'!$A$6:$A$2005,A10,'Claim Review'!$C$6:$C$2005,"&lt;&gt;",'Claim Review'!$K$6:$K$2005,"Yes"))</f>
        <v>0</v>
      </c>
      <c r="R10" s="12">
        <f>IF(AND(A10&lt;&gt;"",COUNTIF($A$6:$A$205,A10)=1,COUNTIF('Test Cases'!$A$6:$A$205,B10)=1,I10&lt;&gt;"",J10&lt;&gt;"",OR(K10="Answered",K10="Clarification",K10="Abstained"),X10="Yes",T10&lt;&gt;"",O10&gt;0,Q10=0),P10/MAX(1,O10),"")</f>
        <v/>
      </c>
      <c r="S10" s="11" t="str">
        <f>IF(A10="","",IF(AND(J10="",K10=""),"Pending",IF(COUNTIF($A$6:$A$205,A10)&lt;&gt;1,"Duplicate Run ID",IF(COUNTIF('Test Cases'!$A$6:$A$205,B10)&lt;&gt;1,"Check Test ID",IF(K10="Error","FAIL",IF(OR(I10="",J10=""),"Needs evidence / answer",IF(NOT(OR(K10="Answered",K10="Clarification",K10="Abstained")),"Choose outcome",IF(X10&lt;&gt;"Yes","Confirm claim inventory",IF(AND(K10="Answered",O10=0),"Needs claims",IF(Q10&gt;0,"Needs claim review",IF(OR(NOT(OR(L10="Yes",L10="No")),T10=""),"Needs response review",IF(OR(L10="No",M10&gt;0,N10&gt;0,AND(ISNUMBER(R10),R10&lt;Dashboard!$B$5)),"FAIL","PASS"))))))))))))</f>
        <v>Pending</v>
      </c>
      <c r="V10" s="11" t="str">
        <f>IF(B10="","",IFERROR(VLOOKUP(B10,'Test Cases'!$A$6:$J$205,7,FALSE),"Unknown Test ID"))</f>
        <v>RB-005</v>
      </c>
      <c r="W10" s="11" t="str">
        <f>IF(B10="","",IFERROR(VLOOKUP(B10,'Test Cases'!$A$6:$J$205,8,FALSE),"Unknown Test ID"))</f>
        <v>**Service:** search | **Owner:** platform team | **Typical severity:** SEV3 (SEV2 if customer-facing results stale &gt; 2 hours)
## Symptoms
- Nightly job "indexer-nightly" stuck, shard progress frozen
- Error "mapper_parsing_exception" in indexer logs, or a data node above 85% disk
## First checks
1. Disk usage per data node; indexing halts at the high watermark.
2. Indexer logs for "mapper_parsing_exception" - a field arrived with a conflicting type.
3. GC pause times on data nodes.
## Diagnosis
- Disk above watermark: snapshots or old indices consuming space.
- Mapping exception: a producer started sending a field with a new type.
- Progress frozen with healthy disk: long GC or a hung shard task.
## Remediation
1. Delete snapshots beyond retention; delete closed indices older than 90 days.
2. Fix the mapping for the offending field, or route that field to a quarantine index.
3. Resume the job from its checkpoint: `indexer-nightly --resume-from-shard`
4. If users also report worse results, check the last search deploy for analyzer changes before blaming the index.
## Escalation
Platform on-call lead if customer-facing search results are stale for more than 2 hours.
</v>
      </c>
    </row>
    <row r="11" spans="1:24" ht="85" customHeight="1">
      <c r="A11" s="9" t="s">
        <v>229</v>
      </c>
      <c r="B11" s="9" t="s">
        <v>72</v>
      </c>
      <c r="C11" s="11" t="str">
        <f>IF(B11="","",IFERROR(VLOOKUP(B11,'Test Cases'!$A$6:$J$205,2,FALSE),"Unknown Test ID"))</f>
        <v>Development</v>
      </c>
      <c r="D11" s="11" t="str">
        <f>IF(B11="","",IFERROR(VLOOKUP(B11,'Test Cases'!$A$6:$J$205,5,FALSE),"Unknown Test ID"))</f>
        <v>Checkout p99 is above 2.5 seconds after a deploy and promo validation dominates traces. What should I check, what remediation applies, and how should I verify recovery?</v>
      </c>
      <c r="M11" s="11">
        <f>IF(A11="","",COUNTIFS('Claim Review'!$A$6:$A$2005,A11,'Claim Review'!$C$6:$C$2005,"&lt;&gt;",'Claim Review'!$G$6:$G$2005,"Wrong citation")+COUNTIFS('Claim Review'!$A$6:$A$2005,A11,'Claim Review'!$C$6:$C$2005,"&lt;&gt;",'Claim Review'!$G$6:$G$2005,"Missing citation"))</f>
        <v>0</v>
      </c>
      <c r="N11" s="11">
        <f>IF(A11="","",COUNTIFS('Claim Review'!$A$6:$A$2005,A11,'Claim Review'!$C$6:$C$2005,"&lt;&gt;",'Claim Review'!$H$6:$H$2005,"Yes"))</f>
        <v>0</v>
      </c>
      <c r="O11" s="11">
        <f>IF(A11="","",COUNTIFS('Claim Review'!$A$6:$A$2005,A11,'Claim Review'!$C$6:$C$2005,"&lt;&gt;"))</f>
        <v>0</v>
      </c>
      <c r="P11" s="11">
        <f>IF(A11="","",COUNTIFS('Claim Review'!$A$6:$A$2005,A11,'Claim Review'!$C$6:$C$2005,"&lt;&gt;",'Claim Review'!$F$6:$F$2005,"Supported"))</f>
        <v>0</v>
      </c>
      <c r="Q11" s="11">
        <f>IF(A11="","",O11-COUNTIFS('Claim Review'!$A$6:$A$2005,A11,'Claim Review'!$C$6:$C$2005,"&lt;&gt;",'Claim Review'!$K$6:$K$2005,"Yes"))</f>
        <v>0</v>
      </c>
      <c r="R11" s="12">
        <f>IF(AND(A11&lt;&gt;"",COUNTIF($A$6:$A$205,A11)=1,COUNTIF('Test Cases'!$A$6:$A$205,B11)=1,I11&lt;&gt;"",J11&lt;&gt;"",OR(K11="Answered",K11="Clarification",K11="Abstained"),X11="Yes",T11&lt;&gt;"",O11&gt;0,Q11=0),P11/MAX(1,O11),"")</f>
        <v/>
      </c>
      <c r="S11" s="11" t="str">
        <f>IF(A11="","",IF(AND(J11="",K11=""),"Pending",IF(COUNTIF($A$6:$A$205,A11)&lt;&gt;1,"Duplicate Run ID",IF(COUNTIF('Test Cases'!$A$6:$A$205,B11)&lt;&gt;1,"Check Test ID",IF(K11="Error","FAIL",IF(OR(I11="",J11=""),"Needs evidence / answer",IF(NOT(OR(K11="Answered",K11="Clarification",K11="Abstained")),"Choose outcome",IF(X11&lt;&gt;"Yes","Confirm claim inventory",IF(AND(K11="Answered",O11=0),"Needs claims",IF(Q11&gt;0,"Needs claim review",IF(OR(NOT(OR(L11="Yes",L11="No")),T11=""),"Needs response review",IF(OR(L11="No",M11&gt;0,N11&gt;0,AND(ISNUMBER(R11),R11&lt;Dashboard!$B$5)),"FAIL","PASS"))))))))))))</f>
        <v>Pending</v>
      </c>
      <c r="V11" s="11" t="str">
        <f>IF(B11="","",IFERROR(VLOOKUP(B11,'Test Cases'!$A$6:$J$205,7,FALSE),"Unknown Test ID"))</f>
        <v>RB-006</v>
      </c>
      <c r="W11" s="11" t="str">
        <f>IF(B11="","",IFERROR(VLOOKUP(B11,'Test Cases'!$A$6:$J$205,8,FALSE),"Unknown Test ID"))</f>
        <v>**Service:** checkout | **Owner:** growth team | **Typical severity:** SEV2 if conversion impact confirmed
## Symptoms
- Checkout p99 latency above 2.5s against a 900ms baseline
- APM traces show time concentrated in promo validation or the inventory call
## First checks
1. APM waterfall for a slow trace: which span eats the time?
2. Was "checkout_v2" enabled in the last deploy?
3. Check for N+1 query patterns in cart service database calls.
## Diagnosis
- Promo validation called synchronously per cart item: known regression pattern from the v2 flag.
- Cache bypass header set by the new frontend build: every request hits origin services.
- DB time dominant: hand off to RB-009.
## Remediation
1. Disable the flag: `checkout_v2=false` - instant rollback, no deploy needed.
2. Enable async promo validation: `promo.async_validation=true`
3. Verify p99 below 1.2s for 10 minutes before closing.
## Escalation
Growth team lead. SEV2 if analytics confirms a conversion drop.
</v>
      </c>
    </row>
    <row r="12" spans="1:24" ht="85" customHeight="1">
      <c r="A12" s="9" t="s">
        <v>230</v>
      </c>
      <c r="B12" s="9" t="s">
        <v>78</v>
      </c>
      <c r="C12" s="11" t="str">
        <f>IF(B12="","",IFERROR(VLOOKUP(B12,'Test Cases'!$A$6:$J$205,2,FALSE),"Unknown Test ID"))</f>
        <v>Development</v>
      </c>
      <c r="D12" s="11" t="str">
        <f>IF(B12="","",IFERROR(VLOOKUP(B12,'Test Cases'!$A$6:$J$205,5,FALSE),"Unknown Test ID"))</f>
        <v>Email queues are backing up and the provider returns 429 provider rate limit exceeded. What should I check, what remediation applies, and when should I escalate?</v>
      </c>
      <c r="M12" s="11">
        <f>IF(A12="","",COUNTIFS('Claim Review'!$A$6:$A$2005,A12,'Claim Review'!$C$6:$C$2005,"&lt;&gt;",'Claim Review'!$G$6:$G$2005,"Wrong citation")+COUNTIFS('Claim Review'!$A$6:$A$2005,A12,'Claim Review'!$C$6:$C$2005,"&lt;&gt;",'Claim Review'!$G$6:$G$2005,"Missing citation"))</f>
        <v>0</v>
      </c>
      <c r="N12" s="11">
        <f>IF(A12="","",COUNTIFS('Claim Review'!$A$6:$A$2005,A12,'Claim Review'!$C$6:$C$2005,"&lt;&gt;",'Claim Review'!$H$6:$H$2005,"Yes"))</f>
        <v>0</v>
      </c>
      <c r="O12" s="11">
        <f>IF(A12="","",COUNTIFS('Claim Review'!$A$6:$A$2005,A12,'Claim Review'!$C$6:$C$2005,"&lt;&gt;"))</f>
        <v>0</v>
      </c>
      <c r="P12" s="11">
        <f>IF(A12="","",COUNTIFS('Claim Review'!$A$6:$A$2005,A12,'Claim Review'!$C$6:$C$2005,"&lt;&gt;",'Claim Review'!$F$6:$F$2005,"Supported"))</f>
        <v>0</v>
      </c>
      <c r="Q12" s="11">
        <f>IF(A12="","",O12-COUNTIFS('Claim Review'!$A$6:$A$2005,A12,'Claim Review'!$C$6:$C$2005,"&lt;&gt;",'Claim Review'!$K$6:$K$2005,"Yes"))</f>
        <v>0</v>
      </c>
      <c r="R12" s="12">
        <f>IF(AND(A12&lt;&gt;"",COUNTIF($A$6:$A$205,A12)=1,COUNTIF('Test Cases'!$A$6:$A$205,B12)=1,I12&lt;&gt;"",J12&lt;&gt;"",OR(K12="Answered",K12="Clarification",K12="Abstained"),X12="Yes",T12&lt;&gt;"",O12&gt;0,Q12=0),P12/MAX(1,O12),"")</f>
        <v/>
      </c>
      <c r="S12" s="11" t="str">
        <f>IF(A12="","",IF(AND(J12="",K12=""),"Pending",IF(COUNTIF($A$6:$A$205,A12)&lt;&gt;1,"Duplicate Run ID",IF(COUNTIF('Test Cases'!$A$6:$A$205,B12)&lt;&gt;1,"Check Test ID",IF(K12="Error","FAIL",IF(OR(I12="",J12=""),"Needs evidence / answer",IF(NOT(OR(K12="Answered",K12="Clarification",K12="Abstained")),"Choose outcome",IF(X12&lt;&gt;"Yes","Confirm claim inventory",IF(AND(K12="Answered",O12=0),"Needs claims",IF(Q12&gt;0,"Needs claim review",IF(OR(NOT(OR(L12="Yes",L12="No")),T12=""),"Needs response review",IF(OR(L12="No",M12&gt;0,N12&gt;0,AND(ISNUMBER(R12),R12&lt;Dashboard!$B$5)),"FAIL","PASS"))))))))))))</f>
        <v>Pending</v>
      </c>
      <c r="V12" s="11" t="str">
        <f>IF(B12="","",IFERROR(VLOOKUP(B12,'Test Cases'!$A$6:$J$205,7,FALSE),"Unknown Test ID"))</f>
        <v>RB-007</v>
      </c>
      <c r="W12" s="11" t="str">
        <f>IF(B12="","",IFERROR(VLOOKUP(B12,'Test Cases'!$A$6:$J$205,8,FALSE),"Unknown Test ID"))</f>
        <v>**Service:** notifications | **Owner:** platform team | **Typical severity:** SEV3 (SEV2 if OTP/password-reset mail delayed &gt; 15 min)
## Symptoms
- Email queue depth rising, send latency above 10 minutes
- Provider returns "429 provider rate limit exceeded"
## First checks
1. Split queue depth: transactional vs marketing. A campaign burst sharing the queue is the usual cause.
2. Worker replica count vs the autoscaling cap.
3. Provider rate limit status for our account.
## Diagnosis
- Marketing burst: a campaign send flooded the shared queue.
- Workers at cap with steady traffic: genuine capacity ceiling.
- 429s at low volume: provider-side throttling or account limit change.
## Remediation
1. Prioritize the "notifications-transactional" queue - OTP and password resets go first.
2. Raise worker replicas up to the max of 20.
3. Pause campaign sends: `campaigns.paused=true`
4. Never drop transactional messages to clear a backlog.
## Escalation
If password-reset or OTP mail is delayed more than 15 minutes this becomes auth-impacting - raise to SEV2 and cross-reference RB-004.
</v>
      </c>
    </row>
    <row r="13" spans="1:24" ht="85" customHeight="1">
      <c r="A13" s="9" t="s">
        <v>231</v>
      </c>
      <c r="B13" s="9" t="s">
        <v>84</v>
      </c>
      <c r="C13" s="11" t="str">
        <f>IF(B13="","",IFERROR(VLOOKUP(B13,'Test Cases'!$A$6:$J$205,2,FALSE),"Unknown Test ID"))</f>
        <v>Development</v>
      </c>
      <c r="D13" s="11" t="str">
        <f>IF(B13="","",IFERROR(VLOOKUP(B13,'Test Cases'!$A$6:$J$205,5,FALSE),"Unknown Test ID"))</f>
        <v>Replica lag is above 30 seconds and climbing while a backfill runs. What should I check, what remediation conditions apply, and when should I escalate?</v>
      </c>
      <c r="M13" s="11">
        <f>IF(A13="","",COUNTIFS('Claim Review'!$A$6:$A$2005,A13,'Claim Review'!$C$6:$C$2005,"&lt;&gt;",'Claim Review'!$G$6:$G$2005,"Wrong citation")+COUNTIFS('Claim Review'!$A$6:$A$2005,A13,'Claim Review'!$C$6:$C$2005,"&lt;&gt;",'Claim Review'!$G$6:$G$2005,"Missing citation"))</f>
        <v>0</v>
      </c>
      <c r="N13" s="11">
        <f>IF(A13="","",COUNTIFS('Claim Review'!$A$6:$A$2005,A13,'Claim Review'!$C$6:$C$2005,"&lt;&gt;",'Claim Review'!$H$6:$H$2005,"Yes"))</f>
        <v>0</v>
      </c>
      <c r="O13" s="11">
        <f>IF(A13="","",COUNTIFS('Claim Review'!$A$6:$A$2005,A13,'Claim Review'!$C$6:$C$2005,"&lt;&gt;"))</f>
        <v>0</v>
      </c>
      <c r="P13" s="11">
        <f>IF(A13="","",COUNTIFS('Claim Review'!$A$6:$A$2005,A13,'Claim Review'!$C$6:$C$2005,"&lt;&gt;",'Claim Review'!$F$6:$F$2005,"Supported"))</f>
        <v>0</v>
      </c>
      <c r="Q13" s="11">
        <f>IF(A13="","",O13-COUNTIFS('Claim Review'!$A$6:$A$2005,A13,'Claim Review'!$C$6:$C$2005,"&lt;&gt;",'Claim Review'!$K$6:$K$2005,"Yes"))</f>
        <v>0</v>
      </c>
      <c r="R13" s="12">
        <f>IF(AND(A13&lt;&gt;"",COUNTIF($A$6:$A$205,A13)=1,COUNTIF('Test Cases'!$A$6:$A$205,B13)=1,I13&lt;&gt;"",J13&lt;&gt;"",OR(K13="Answered",K13="Clarification",K13="Abstained"),X13="Yes",T13&lt;&gt;"",O13&gt;0,Q13=0),P13/MAX(1,O13),"")</f>
        <v/>
      </c>
      <c r="S13" s="11" t="str">
        <f>IF(A13="","",IF(AND(J13="",K13=""),"Pending",IF(COUNTIF($A$6:$A$205,A13)&lt;&gt;1,"Duplicate Run ID",IF(COUNTIF('Test Cases'!$A$6:$A$205,B13)&lt;&gt;1,"Check Test ID",IF(K13="Error","FAIL",IF(OR(I13="",J13=""),"Needs evidence / answer",IF(NOT(OR(K13="Answered",K13="Clarification",K13="Abstained")),"Choose outcome",IF(X13&lt;&gt;"Yes","Confirm claim inventory",IF(AND(K13="Answered",O13=0),"Needs claims",IF(Q13&gt;0,"Needs claim review",IF(OR(NOT(OR(L13="Yes",L13="No")),T13=""),"Needs response review",IF(OR(L13="No",M13&gt;0,N13&gt;0,AND(ISNUMBER(R13),R13&lt;Dashboard!$B$5)),"FAIL","PASS"))))))))))))</f>
        <v>Pending</v>
      </c>
      <c r="V13" s="11" t="str">
        <f>IF(B13="","",IFERROR(VLOOKUP(B13,'Test Cases'!$A$6:$J$205,7,FALSE),"Unknown Test ID"))</f>
        <v>RB-008</v>
      </c>
      <c r="W13" s="11" t="str">
        <f>IF(B13="","",IFERROR(VLOOKUP(B13,'Test Cases'!$A$6:$J$205,8,FALSE),"Unknown Test ID"))</f>
        <v>**Service:** database-primary | **Owner:** platform (DB) team | **Typical severity:** SEV2 (SEV1 if lag &gt; 300s with unhealthy primary)
## Symptoms
- Replica lag above 30 seconds and climbing in pg_stat_replication
- Read-your-write complaints from application teams
## First checks
1. `SELECT pid, application_name, now() - xact_start AS xact_age FROM pg_stat_activity ORDER BY xact_age DESC;`
2. Identify bulk jobs by application_name - backfills are the usual blocker.
3. Replica disk I/O utilisation.
## Diagnosis
- One long transaction on the primary: replica replay is blocked behind it.
- Backfill job running during peak: contention, not failure.
- Replica disk saturated: replay cannot keep up even with a healthy primary.
## Remediation
1. With incident commander approval, terminate the blocking backfill: `SELECT pg_terminate_backend(&lt;pid&gt;);`
2. Throttle or pause batch jobs until lag drains below 5 seconds.
3. Controlled failover only if the primary is genuinely failing AND lag is under 10 seconds.
4. Never promote a replica with lag above 300 seconds without data-loss sign-off from the DB lead.
## Escalation
SEV1 if lag exceeds 300 seconds with an unhealthy primary. Page the DB lead.
</v>
      </c>
    </row>
    <row r="14" spans="1:24" ht="85" customHeight="1">
      <c r="A14" s="9" t="s">
        <v>232</v>
      </c>
      <c r="B14" s="9" t="s">
        <v>90</v>
      </c>
      <c r="C14" s="11" t="str">
        <f>IF(B14="","",IFERROR(VLOOKUP(B14,'Test Cases'!$A$6:$J$205,2,FALSE),"Unknown Test ID"))</f>
        <v>Development</v>
      </c>
      <c r="D14" s="11" t="str">
        <f>IF(B14="","",IFERROR(VLOOKUP(B14,'Test Cases'!$A$6:$J$205,5,FALSE),"Unknown Test ID"))</f>
        <v>The orders database connection pool is saturated and requests are failing. What should I check first, what remediation should I follow, and when should I escalate?</v>
      </c>
      <c r="M14" s="11">
        <f>IF(A14="","",COUNTIFS('Claim Review'!$A$6:$A$2005,A14,'Claim Review'!$C$6:$C$2005,"&lt;&gt;",'Claim Review'!$G$6:$G$2005,"Wrong citation")+COUNTIFS('Claim Review'!$A$6:$A$2005,A14,'Claim Review'!$C$6:$C$2005,"&lt;&gt;",'Claim Review'!$G$6:$G$2005,"Missing citation"))</f>
        <v>0</v>
      </c>
      <c r="N14" s="11">
        <f>IF(A14="","",COUNTIFS('Claim Review'!$A$6:$A$2005,A14,'Claim Review'!$C$6:$C$2005,"&lt;&gt;",'Claim Review'!$H$6:$H$2005,"Yes"))</f>
        <v>0</v>
      </c>
      <c r="O14" s="11">
        <f>IF(A14="","",COUNTIFS('Claim Review'!$A$6:$A$2005,A14,'Claim Review'!$C$6:$C$2005,"&lt;&gt;"))</f>
        <v>0</v>
      </c>
      <c r="P14" s="11">
        <f>IF(A14="","",COUNTIFS('Claim Review'!$A$6:$A$2005,A14,'Claim Review'!$C$6:$C$2005,"&lt;&gt;",'Claim Review'!$F$6:$F$2005,"Supported"))</f>
        <v>0</v>
      </c>
      <c r="Q14" s="11">
        <f>IF(A14="","",O14-COUNTIFS('Claim Review'!$A$6:$A$2005,A14,'Claim Review'!$C$6:$C$2005,"&lt;&gt;",'Claim Review'!$K$6:$K$2005,"Yes"))</f>
        <v>0</v>
      </c>
      <c r="R14" s="12">
        <f>IF(AND(A14&lt;&gt;"",COUNTIF($A$6:$A$205,A14)=1,COUNTIF('Test Cases'!$A$6:$A$205,B14)=1,I14&lt;&gt;"",J14&lt;&gt;"",OR(K14="Answered",K14="Clarification",K14="Abstained"),X14="Yes",T14&lt;&gt;"",O14&gt;0,Q14=0),P14/MAX(1,O14),"")</f>
        <v/>
      </c>
      <c r="S14" s="11" t="str">
        <f>IF(A14="","",IF(AND(J14="",K14=""),"Pending",IF(COUNTIF($A$6:$A$205,A14)&lt;&gt;1,"Duplicate Run ID",IF(COUNTIF('Test Cases'!$A$6:$A$205,B14)&lt;&gt;1,"Check Test ID",IF(K14="Error","FAIL",IF(OR(I14="",J14=""),"Needs evidence / answer",IF(NOT(OR(K14="Answered",K14="Clarification",K14="Abstained")),"Choose outcome",IF(X14&lt;&gt;"Yes","Confirm claim inventory",IF(AND(K14="Answered",O14=0),"Needs claims",IF(Q14&gt;0,"Needs claim review",IF(OR(NOT(OR(L14="Yes",L14="No")),T14=""),"Needs response review",IF(OR(L14="No",M14&gt;0,N14&gt;0,AND(ISNUMBER(R14),R14&lt;Dashboard!$B$5)),"FAIL","PASS"))))))))))))</f>
        <v>Pending</v>
      </c>
      <c r="V14" s="11" t="str">
        <f>IF(B14="","",IFERROR(VLOOKUP(B14,'Test Cases'!$A$6:$J$205,7,FALSE),"Unknown Test ID"))</f>
        <v>RB-009</v>
      </c>
      <c r="W14" s="11" t="str">
        <f>IF(B14="","",IFERROR(VLOOKUP(B14,'Test Cases'!$A$6:$J$205,8,FALSE),"Unknown Test ID"))</f>
        <v>**Service:** database-primary | **Owner:** platform (DB) team | **Typical severity:** SEV2
## Symptoms
- Application errors: "FATAL: remaining connection slots are reserved for non-replication superuser connections"
- PgBouncer client wait queue growing
## First checks
1. `SELECT application_name, state, count(*) FROM pg_stat_activity GROUP BY 1, 2 ORDER BY 3 DESC;`
2. PgBouncer: `SHOW POOLS;` - look at cl_waiting.
3. Sessions stuck in "idle in transaction" point at a leaking deploy.
## Diagnosis
- One application_name dominating with idle-in-transaction sessions: connection leak in a recent deploy.
- All apps up evenly: genuine load growth or a batch job.
- Pooler queue up but DB sessions low: pool size misconfigured after a deploy.
## Remediation
1. Restart the pooler to clear leaked sessions: `systemctl restart pgbouncer`
2. Roll back the leaking deploy; the leak, not the pool size, is the bug.
3. Temporary pool_size increase of 25% is allowed only if DB CPU is below 60%.
## Escalation
DB lead if it recurs twice in 24 hours - that is a leak hunt, treat as SEV2.
</v>
      </c>
    </row>
    <row r="15" spans="1:24" ht="85" customHeight="1">
      <c r="A15" s="9" t="s">
        <v>233</v>
      </c>
      <c r="B15" s="9" t="s">
        <v>95</v>
      </c>
      <c r="C15" s="11" t="str">
        <f>IF(B15="","",IFERROR(VLOOKUP(B15,'Test Cases'!$A$6:$J$205,2,FALSE),"Unknown Test ID"))</f>
        <v>Development</v>
      </c>
      <c r="D15" s="11" t="str">
        <f>IF(B15="","",IFERROR(VLOOKUP(B15,'Test Cases'!$A$6:$J$205,5,FALSE),"Unknown Test ID"))</f>
        <v>CDN cache hit ratio dropped below 70%, origin traffic tripled, and edge 503s appeared after a config push. What should I check and do?</v>
      </c>
      <c r="M15" s="11">
        <f>IF(A15="","",COUNTIFS('Claim Review'!$A$6:$A$2005,A15,'Claim Review'!$C$6:$C$2005,"&lt;&gt;",'Claim Review'!$G$6:$G$2005,"Wrong citation")+COUNTIFS('Claim Review'!$A$6:$A$2005,A15,'Claim Review'!$C$6:$C$2005,"&lt;&gt;",'Claim Review'!$G$6:$G$2005,"Missing citation"))</f>
        <v>0</v>
      </c>
      <c r="N15" s="11">
        <f>IF(A15="","",COUNTIFS('Claim Review'!$A$6:$A$2005,A15,'Claim Review'!$C$6:$C$2005,"&lt;&gt;",'Claim Review'!$H$6:$H$2005,"Yes"))</f>
        <v>0</v>
      </c>
      <c r="O15" s="11">
        <f>IF(A15="","",COUNTIFS('Claim Review'!$A$6:$A$2005,A15,'Claim Review'!$C$6:$C$2005,"&lt;&gt;"))</f>
        <v>0</v>
      </c>
      <c r="P15" s="11">
        <f>IF(A15="","",COUNTIFS('Claim Review'!$A$6:$A$2005,A15,'Claim Review'!$C$6:$C$2005,"&lt;&gt;",'Claim Review'!$F$6:$F$2005,"Supported"))</f>
        <v>0</v>
      </c>
      <c r="Q15" s="11">
        <f>IF(A15="","",O15-COUNTIFS('Claim Review'!$A$6:$A$2005,A15,'Claim Review'!$C$6:$C$2005,"&lt;&gt;",'Claim Review'!$K$6:$K$2005,"Yes"))</f>
        <v>0</v>
      </c>
      <c r="R15" s="12">
        <f>IF(AND(A15&lt;&gt;"",COUNTIF($A$6:$A$205,A15)=1,COUNTIF('Test Cases'!$A$6:$A$205,B15)=1,I15&lt;&gt;"",J15&lt;&gt;"",OR(K15="Answered",K15="Clarification",K15="Abstained"),X15="Yes",T15&lt;&gt;"",O15&gt;0,Q15=0),P15/MAX(1,O15),"")</f>
        <v/>
      </c>
      <c r="S15" s="11" t="str">
        <f>IF(A15="","",IF(AND(J15="",K15=""),"Pending",IF(COUNTIF($A$6:$A$205,A15)&lt;&gt;1,"Duplicate Run ID",IF(COUNTIF('Test Cases'!$A$6:$A$205,B15)&lt;&gt;1,"Check Test ID",IF(K15="Error","FAIL",IF(OR(I15="",J15=""),"Needs evidence / answer",IF(NOT(OR(K15="Answered",K15="Clarification",K15="Abstained")),"Choose outcome",IF(X15&lt;&gt;"Yes","Confirm claim inventory",IF(AND(K15="Answered",O15=0),"Needs claims",IF(Q15&gt;0,"Needs claim review",IF(OR(NOT(OR(L15="Yes",L15="No")),T15=""),"Needs response review",IF(OR(L15="No",M15&gt;0,N15&gt;0,AND(ISNUMBER(R15),R15&lt;Dashboard!$B$5)),"FAIL","PASS"))))))))))))</f>
        <v>Pending</v>
      </c>
      <c r="V15" s="11" t="str">
        <f>IF(B15="","",IFERROR(VLOOKUP(B15,'Test Cases'!$A$6:$J$205,7,FALSE),"Unknown Test ID"))</f>
        <v>RB-010</v>
      </c>
      <c r="W15" s="11" t="str">
        <f>IF(B15="","",IFERROR(VLOOKUP(B15,'Test Cases'!$A$6:$J$205,8,FALSE),"Unknown Test ID"))</f>
        <v>**Service:** cdn-edge | **Owner:** platform team | **Typical severity:** SEV2 if origin is saturating
## Symptoms
- Cache hit ratio below 70% against a 92% baseline
- Origin traffic roughly 3x normal; scattered 503s by POP after a config push
## First checks
1. Hit ratio split by POP and by path - global or localized?
2. Was there a CDN config push or a full purge in the last hour?
3. Origin response codes and origin CPU.
## Diagnosis
- Cache key changed to include the session cookie: every user becomes a unique cache entry.
- Full purge during peak: self-inflicted origin stampede.
- One POP only: bad config version on that POP or an origin shield misroute.
## Remediation
1. Roll back the CDN config to the previous known-good version.
2. Enable origin shield and request coalescing to protect the origin.
3. Re-warm the top 500 URLs after rollback.
4. Disable scheduled purges until the root cause is confirmed.
## Escalation
SEV2 if the origin is saturating. Protect the origin first, investigate second.
</v>
      </c>
    </row>
    <row r="16" spans="1:24" ht="85" customHeight="1">
      <c r="A16" s="9" t="s">
        <v>234</v>
      </c>
      <c r="B16" s="9" t="s">
        <v>101</v>
      </c>
      <c r="C16" s="11" t="str">
        <f>IF(B16="","",IFERROR(VLOOKUP(B16,'Test Cases'!$A$6:$J$205,2,FALSE),"Unknown Test ID"))</f>
        <v>Development</v>
      </c>
      <c r="D16" s="11" t="str">
        <f>IF(B16="","",IFERROR(VLOOKUP(B16,'Test Cases'!$A$6:$J$205,5,FALSE),"Unknown Test ID"))</f>
        <v>Stock sync is failing with deadlock detected on sku_locks and oversell alerts are active. What should I check, how should I recover, and who should I notify?</v>
      </c>
      <c r="M16" s="11">
        <f>IF(A16="","",COUNTIFS('Claim Review'!$A$6:$A$2005,A16,'Claim Review'!$C$6:$C$2005,"&lt;&gt;",'Claim Review'!$G$6:$G$2005,"Wrong citation")+COUNTIFS('Claim Review'!$A$6:$A$2005,A16,'Claim Review'!$C$6:$C$2005,"&lt;&gt;",'Claim Review'!$G$6:$G$2005,"Missing citation"))</f>
        <v>0</v>
      </c>
      <c r="N16" s="11">
        <f>IF(A16="","",COUNTIFS('Claim Review'!$A$6:$A$2005,A16,'Claim Review'!$C$6:$C$2005,"&lt;&gt;",'Claim Review'!$H$6:$H$2005,"Yes"))</f>
        <v>0</v>
      </c>
      <c r="O16" s="11">
        <f>IF(A16="","",COUNTIFS('Claim Review'!$A$6:$A$2005,A16,'Claim Review'!$C$6:$C$2005,"&lt;&gt;"))</f>
        <v>0</v>
      </c>
      <c r="P16" s="11">
        <f>IF(A16="","",COUNTIFS('Claim Review'!$A$6:$A$2005,A16,'Claim Review'!$C$6:$C$2005,"&lt;&gt;",'Claim Review'!$F$6:$F$2005,"Supported"))</f>
        <v>0</v>
      </c>
      <c r="Q16" s="11">
        <f>IF(A16="","",O16-COUNTIFS('Claim Review'!$A$6:$A$2005,A16,'Claim Review'!$C$6:$C$2005,"&lt;&gt;",'Claim Review'!$K$6:$K$2005,"Yes"))</f>
        <v>0</v>
      </c>
      <c r="R16" s="12">
        <f>IF(AND(A16&lt;&gt;"",COUNTIF($A$6:$A$205,A16)=1,COUNTIF('Test Cases'!$A$6:$A$205,B16)=1,I16&lt;&gt;"",J16&lt;&gt;"",OR(K16="Answered",K16="Clarification",K16="Abstained"),X16="Yes",T16&lt;&gt;"",O16&gt;0,Q16=0),P16/MAX(1,O16),"")</f>
        <v/>
      </c>
      <c r="S16" s="11" t="str">
        <f>IF(A16="","",IF(AND(J16="",K16=""),"Pending",IF(COUNTIF($A$6:$A$205,A16)&lt;&gt;1,"Duplicate Run ID",IF(COUNTIF('Test Cases'!$A$6:$A$205,B16)&lt;&gt;1,"Check Test ID",IF(K16="Error","FAIL",IF(OR(I16="",J16=""),"Needs evidence / answer",IF(NOT(OR(K16="Answered",K16="Clarification",K16="Abstained")),"Choose outcome",IF(X16&lt;&gt;"Yes","Confirm claim inventory",IF(AND(K16="Answered",O16=0),"Needs claims",IF(Q16&gt;0,"Needs claim review",IF(OR(NOT(OR(L16="Yes",L16="No")),T16=""),"Needs response review",IF(OR(L16="No",M16&gt;0,N16&gt;0,AND(ISNUMBER(R16),R16&lt;Dashboard!$B$5)),"FAIL","PASS"))))))))))))</f>
        <v>Pending</v>
      </c>
      <c r="V16" s="11" t="str">
        <f>IF(B16="","",IFERROR(VLOOKUP(B16,'Test Cases'!$A$6:$J$205,7,FALSE),"Unknown Test ID"))</f>
        <v>RB-011</v>
      </c>
      <c r="W16" s="11" t="str">
        <f>IF(B16="","",IFERROR(VLOOKUP(B16,'Test Cases'!$A$6:$J$205,8,FALSE),"Unknown Test ID"))</f>
        <v>**Service:** inventory | **Owner:** growth team | **Typical severity:** SEV2 while oversell is active
## Symptoms
- Stock sync job failing; oversell alerts on high-velocity SKUs
- Errors: "deadlock detected on sku_locks", or the feed file is missing the column "warehouse_id"
## First checks
1. Is more than one sync run executing at once? Overlapping runs deadlock each other.
2. Diff the latest warehouse feed file against the expected schema.
3. Check whether the batch repricing job is running concurrently.
## Diagnosis
- Missing "warehouse_id" column: the warehouse changed the feed schema without notice.
- Deadlocks with overlapping runs: scheduling collision, not bad data.
- Deadlocks with repricing: lock ordering conflict between the two jobs.
## Remediation
1. Stop extra sync runs; rerun a single sync in idempotent reconcile mode: `stock-sync --mode=reconcile`
2. Reconcile counts for affected SKUs from the latest warehouse snapshot.
3. For oversold orders, follow the customer outreach macro - do not hand-edit stock counts outside reconcile mode.
## Escalation
SEV2 while oversell is active (customer-facing). Notify growth and support leads.
</v>
      </c>
    </row>
    <row r="17" spans="1:23" ht="85" customHeight="1">
      <c r="A17" s="9" t="s">
        <v>235</v>
      </c>
      <c r="B17" s="9" t="s">
        <v>107</v>
      </c>
      <c r="C17" s="11" t="str">
        <f>IF(B17="","",IFERROR(VLOOKUP(B17,'Test Cases'!$A$6:$J$205,2,FALSE),"Unknown Test ID"))</f>
        <v>Development</v>
      </c>
      <c r="D17" s="11" t="str">
        <f>IF(B17="","",IFERROR(VLOOKUP(B17,'Test Cases'!$A$6:$J$205,5,FALSE),"Unknown Test ID"))</f>
        <v>For a SEV1 incident, what are the acknowledgement and update targets, who can downgrade severity, and what follow-up is required?</v>
      </c>
      <c r="M17" s="11">
        <f>IF(A17="","",COUNTIFS('Claim Review'!$A$6:$A$2005,A17,'Claim Review'!$C$6:$C$2005,"&lt;&gt;",'Claim Review'!$G$6:$G$2005,"Wrong citation")+COUNTIFS('Claim Review'!$A$6:$A$2005,A17,'Claim Review'!$C$6:$C$2005,"&lt;&gt;",'Claim Review'!$G$6:$G$2005,"Missing citation"))</f>
        <v>0</v>
      </c>
      <c r="N17" s="11">
        <f>IF(A17="","",COUNTIFS('Claim Review'!$A$6:$A$2005,A17,'Claim Review'!$C$6:$C$2005,"&lt;&gt;",'Claim Review'!$H$6:$H$2005,"Yes"))</f>
        <v>0</v>
      </c>
      <c r="O17" s="11">
        <f>IF(A17="","",COUNTIFS('Claim Review'!$A$6:$A$2005,A17,'Claim Review'!$C$6:$C$2005,"&lt;&gt;"))</f>
        <v>0</v>
      </c>
      <c r="P17" s="11">
        <f>IF(A17="","",COUNTIFS('Claim Review'!$A$6:$A$2005,A17,'Claim Review'!$C$6:$C$2005,"&lt;&gt;",'Claim Review'!$F$6:$F$2005,"Supported"))</f>
        <v>0</v>
      </c>
      <c r="Q17" s="11">
        <f>IF(A17="","",O17-COUNTIFS('Claim Review'!$A$6:$A$2005,A17,'Claim Review'!$C$6:$C$2005,"&lt;&gt;",'Claim Review'!$K$6:$K$2005,"Yes"))</f>
        <v>0</v>
      </c>
      <c r="R17" s="12">
        <f>IF(AND(A17&lt;&gt;"",COUNTIF($A$6:$A$205,A17)=1,COUNTIF('Test Cases'!$A$6:$A$205,B17)=1,I17&lt;&gt;"",J17&lt;&gt;"",OR(K17="Answered",K17="Clarification",K17="Abstained"),X17="Yes",T17&lt;&gt;"",O17&gt;0,Q17=0),P17/MAX(1,O17),"")</f>
        <v/>
      </c>
      <c r="S17" s="11" t="str">
        <f>IF(A17="","",IF(AND(J17="",K17=""),"Pending",IF(COUNTIF($A$6:$A$205,A17)&lt;&gt;1,"Duplicate Run ID",IF(COUNTIF('Test Cases'!$A$6:$A$205,B17)&lt;&gt;1,"Check Test ID",IF(K17="Error","FAIL",IF(OR(I17="",J17=""),"Needs evidence / answer",IF(NOT(OR(K17="Answered",K17="Clarification",K17="Abstained")),"Choose outcome",IF(X17&lt;&gt;"Yes","Confirm claim inventory",IF(AND(K17="Answered",O17=0),"Needs claims",IF(Q17&gt;0,"Needs claim review",IF(OR(NOT(OR(L17="Yes",L17="No")),T17=""),"Needs response review",IF(OR(L17="No",M17&gt;0,N17&gt;0,AND(ISNUMBER(R17),R17&lt;Dashboard!$B$5)),"FAIL","PASS"))))))))))))</f>
        <v>Pending</v>
      </c>
      <c r="V17" s="11" t="str">
        <f>IF(B17="","",IFERROR(VLOOKUP(B17,'Test Cases'!$A$6:$J$205,7,FALSE),"Unknown Test ID"))</f>
        <v>RB-012</v>
      </c>
      <c r="W17" s="11" t="str">
        <f>IF(B17="","",IFERROR(VLOOKUP(B17,'Test Cases'!$A$6:$J$205,8,FALSE),"Unknown Test ID"))</f>
        <v>**Service:** all | **Owner:** infrastructure operations | **Applies to:** every incident
## Severity definitions and response targets
- **SEV1:** Customer-facing outage or data-loss risk. Acknowledge within 5 minutes. Incident commander required. Stakeholder updates every 30 minutes.
- **SEV2:** Major degradation of a customer-facing service. Acknowledge within 15 minutes. Updates hourly.
- **SEV3:** Minor degradation with a workaround available. Acknowledge within 60 minutes.
- **SEV4:** No customer impact. Acknowledge within 240 minutes; next business day is acceptable.
## Declaring and downgrading
- Any on-call engineer can declare a SEV1 or SEV2.
- Only the incident commander can downgrade a severity.
- When in doubt between two levels, declare the higher one - downgrading is cheap, under-declaring is not.
## Escalation chain
Service owner -&gt; team on-call lead -&gt; engineering manager -&gt; director of infrastructure.
Page the next level if the current level has not engaged within the ack target for the severity.
## Communications and follow-up
- Status page updates are mandatory for SEV1 and SEV2.
- A blameless postmortem is required for every SEV1 and SEV2 within 3 business days, owned by the incident commander.
</v>
      </c>
    </row>
    <row r="18" spans="1:23" ht="85" customHeight="1">
      <c r="A18" s="9" t="s">
        <v>236</v>
      </c>
      <c r="B18" s="9" t="s">
        <v>113</v>
      </c>
      <c r="C18" s="11" t="str">
        <f>IF(B18="","",IFERROR(VLOOKUP(B18,'Test Cases'!$A$6:$J$205,2,FALSE),"Unknown Test ID"))</f>
        <v>Development</v>
      </c>
      <c r="D18" s="11" t="str">
        <f>IF(B18="","",IFERROR(VLOOKUP(B18,'Test Cases'!$A$6:$J$205,5,FALSE),"Unknown Test ID"))</f>
        <v>DB CPU is 65%. Does RB-009 permit a temporary 25% pool_size increase?</v>
      </c>
      <c r="M18" s="11">
        <f>IF(A18="","",COUNTIFS('Claim Review'!$A$6:$A$2005,A18,'Claim Review'!$C$6:$C$2005,"&lt;&gt;",'Claim Review'!$G$6:$G$2005,"Wrong citation")+COUNTIFS('Claim Review'!$A$6:$A$2005,A18,'Claim Review'!$C$6:$C$2005,"&lt;&gt;",'Claim Review'!$G$6:$G$2005,"Missing citation"))</f>
        <v>0</v>
      </c>
      <c r="N18" s="11">
        <f>IF(A18="","",COUNTIFS('Claim Review'!$A$6:$A$2005,A18,'Claim Review'!$C$6:$C$2005,"&lt;&gt;",'Claim Review'!$H$6:$H$2005,"Yes"))</f>
        <v>0</v>
      </c>
      <c r="O18" s="11">
        <f>IF(A18="","",COUNTIFS('Claim Review'!$A$6:$A$2005,A18,'Claim Review'!$C$6:$C$2005,"&lt;&gt;"))</f>
        <v>0</v>
      </c>
      <c r="P18" s="11">
        <f>IF(A18="","",COUNTIFS('Claim Review'!$A$6:$A$2005,A18,'Claim Review'!$C$6:$C$2005,"&lt;&gt;",'Claim Review'!$F$6:$F$2005,"Supported"))</f>
        <v>0</v>
      </c>
      <c r="Q18" s="11">
        <f>IF(A18="","",O18-COUNTIFS('Claim Review'!$A$6:$A$2005,A18,'Claim Review'!$C$6:$C$2005,"&lt;&gt;",'Claim Review'!$K$6:$K$2005,"Yes"))</f>
        <v>0</v>
      </c>
      <c r="R18" s="12">
        <f>IF(AND(A18&lt;&gt;"",COUNTIF($A$6:$A$205,A18)=1,COUNTIF('Test Cases'!$A$6:$A$205,B18)=1,I18&lt;&gt;"",J18&lt;&gt;"",OR(K18="Answered",K18="Clarification",K18="Abstained"),X18="Yes",T18&lt;&gt;"",O18&gt;0,Q18=0),P18/MAX(1,O18),"")</f>
        <v/>
      </c>
      <c r="S18" s="11" t="str">
        <f>IF(A18="","",IF(AND(J18="",K18=""),"Pending",IF(COUNTIF($A$6:$A$205,A18)&lt;&gt;1,"Duplicate Run ID",IF(COUNTIF('Test Cases'!$A$6:$A$205,B18)&lt;&gt;1,"Check Test ID",IF(K18="Error","FAIL",IF(OR(I18="",J18=""),"Needs evidence / answer",IF(NOT(OR(K18="Answered",K18="Clarification",K18="Abstained")),"Choose outcome",IF(X18&lt;&gt;"Yes","Confirm claim inventory",IF(AND(K18="Answered",O18=0),"Needs claims",IF(Q18&gt;0,"Needs claim review",IF(OR(NOT(OR(L18="Yes",L18="No")),T18=""),"Needs response review",IF(OR(L18="No",M18&gt;0,N18&gt;0,AND(ISNUMBER(R18),R18&lt;Dashboard!$B$5)),"FAIL","PASS"))))))))))))</f>
        <v>Pending</v>
      </c>
      <c r="V18" s="11" t="str">
        <f>IF(B18="","",IFERROR(VLOOKUP(B18,'Test Cases'!$A$6:$J$205,7,FALSE),"Unknown Test ID"))</f>
        <v>RB-009</v>
      </c>
      <c r="W18" s="11" t="str">
        <f>IF(B18="","",IFERROR(VLOOKUP(B18,'Test Cases'!$A$6:$J$205,8,FALSE),"Unknown Test ID"))</f>
        <v>No. A temporary 25% pool_size increase is allowed only if DB CPU is below 60%. Do not authorize the increase at 65%.</v>
      </c>
    </row>
    <row r="19" spans="1:23" ht="85" customHeight="1">
      <c r="A19" s="9" t="s">
        <v>237</v>
      </c>
      <c r="B19" s="9" t="s">
        <v>118</v>
      </c>
      <c r="C19" s="11" t="str">
        <f>IF(B19="","",IFERROR(VLOOKUP(B19,'Test Cases'!$A$6:$J$205,2,FALSE),"Unknown Test ID"))</f>
        <v>Development</v>
      </c>
      <c r="D19" s="11" t="str">
        <f>IF(B19="","",IFERROR(VLOOKUP(B19,'Test Cases'!$A$6:$J$205,5,FALSE),"Unknown Test ID"))</f>
        <v>DB CPU is exactly 60%. Does RB-009 permit a temporary 25% pool_size increase?</v>
      </c>
      <c r="M19" s="11">
        <f>IF(A19="","",COUNTIFS('Claim Review'!$A$6:$A$2005,A19,'Claim Review'!$C$6:$C$2005,"&lt;&gt;",'Claim Review'!$G$6:$G$2005,"Wrong citation")+COUNTIFS('Claim Review'!$A$6:$A$2005,A19,'Claim Review'!$C$6:$C$2005,"&lt;&gt;",'Claim Review'!$G$6:$G$2005,"Missing citation"))</f>
        <v>0</v>
      </c>
      <c r="N19" s="11">
        <f>IF(A19="","",COUNTIFS('Claim Review'!$A$6:$A$2005,A19,'Claim Review'!$C$6:$C$2005,"&lt;&gt;",'Claim Review'!$H$6:$H$2005,"Yes"))</f>
        <v>0</v>
      </c>
      <c r="O19" s="11">
        <f>IF(A19="","",COUNTIFS('Claim Review'!$A$6:$A$2005,A19,'Claim Review'!$C$6:$C$2005,"&lt;&gt;"))</f>
        <v>0</v>
      </c>
      <c r="P19" s="11">
        <f>IF(A19="","",COUNTIFS('Claim Review'!$A$6:$A$2005,A19,'Claim Review'!$C$6:$C$2005,"&lt;&gt;",'Claim Review'!$F$6:$F$2005,"Supported"))</f>
        <v>0</v>
      </c>
      <c r="Q19" s="11">
        <f>IF(A19="","",O19-COUNTIFS('Claim Review'!$A$6:$A$2005,A19,'Claim Review'!$C$6:$C$2005,"&lt;&gt;",'Claim Review'!$K$6:$K$2005,"Yes"))</f>
        <v>0</v>
      </c>
      <c r="R19" s="12">
        <f>IF(AND(A19&lt;&gt;"",COUNTIF($A$6:$A$205,A19)=1,COUNTIF('Test Cases'!$A$6:$A$205,B19)=1,I19&lt;&gt;"",J19&lt;&gt;"",OR(K19="Answered",K19="Clarification",K19="Abstained"),X19="Yes",T19&lt;&gt;"",O19&gt;0,Q19=0),P19/MAX(1,O19),"")</f>
        <v/>
      </c>
      <c r="S19" s="11" t="str">
        <f>IF(A19="","",IF(AND(J19="",K19=""),"Pending",IF(COUNTIF($A$6:$A$205,A19)&lt;&gt;1,"Duplicate Run ID",IF(COUNTIF('Test Cases'!$A$6:$A$205,B19)&lt;&gt;1,"Check Test ID",IF(K19="Error","FAIL",IF(OR(I19="",J19=""),"Needs evidence / answer",IF(NOT(OR(K19="Answered",K19="Clarification",K19="Abstained")),"Choose outcome",IF(X19&lt;&gt;"Yes","Confirm claim inventory",IF(AND(K19="Answered",O19=0),"Needs claims",IF(Q19&gt;0,"Needs claim review",IF(OR(NOT(OR(L19="Yes",L19="No")),T19=""),"Needs response review",IF(OR(L19="No",M19&gt;0,N19&gt;0,AND(ISNUMBER(R19),R19&lt;Dashboard!$B$5)),"FAIL","PASS"))))))))))))</f>
        <v>Pending</v>
      </c>
      <c r="V19" s="11" t="str">
        <f>IF(B19="","",IFERROR(VLOOKUP(B19,'Test Cases'!$A$6:$J$205,7,FALSE),"Unknown Test ID"))</f>
        <v>RB-009</v>
      </c>
      <c r="W19" s="11" t="str">
        <f>IF(B19="","",IFERROR(VLOOKUP(B19,'Test Cases'!$A$6:$J$205,8,FALSE),"Unknown Test ID"))</f>
        <v>No. The condition is below 60%, not at or below 60%.</v>
      </c>
    </row>
    <row r="20" spans="1:23" ht="85" customHeight="1">
      <c r="A20" s="9" t="s">
        <v>238</v>
      </c>
      <c r="B20" s="9" t="s">
        <v>121</v>
      </c>
      <c r="C20" s="11" t="str">
        <f>IF(B20="","",IFERROR(VLOOKUP(B20,'Test Cases'!$A$6:$J$205,2,FALSE),"Unknown Test ID"))</f>
        <v>Development</v>
      </c>
      <c r="D20" s="11" t="str">
        <f>IF(B20="","",IFERROR(VLOOKUP(B20,'Test Cases'!$A$6:$J$205,5,FALSE),"Unknown Test ID"))</f>
        <v>DB CPU is 55%. What temporary pool_size increase does RB-009 allow?</v>
      </c>
      <c r="M20" s="11">
        <f>IF(A20="","",COUNTIFS('Claim Review'!$A$6:$A$2005,A20,'Claim Review'!$C$6:$C$2005,"&lt;&gt;",'Claim Review'!$G$6:$G$2005,"Wrong citation")+COUNTIFS('Claim Review'!$A$6:$A$2005,A20,'Claim Review'!$C$6:$C$2005,"&lt;&gt;",'Claim Review'!$G$6:$G$2005,"Missing citation"))</f>
        <v>0</v>
      </c>
      <c r="N20" s="11">
        <f>IF(A20="","",COUNTIFS('Claim Review'!$A$6:$A$2005,A20,'Claim Review'!$C$6:$C$2005,"&lt;&gt;",'Claim Review'!$H$6:$H$2005,"Yes"))</f>
        <v>0</v>
      </c>
      <c r="O20" s="11">
        <f>IF(A20="","",COUNTIFS('Claim Review'!$A$6:$A$2005,A20,'Claim Review'!$C$6:$C$2005,"&lt;&gt;"))</f>
        <v>0</v>
      </c>
      <c r="P20" s="11">
        <f>IF(A20="","",COUNTIFS('Claim Review'!$A$6:$A$2005,A20,'Claim Review'!$C$6:$C$2005,"&lt;&gt;",'Claim Review'!$F$6:$F$2005,"Supported"))</f>
        <v>0</v>
      </c>
      <c r="Q20" s="11">
        <f>IF(A20="","",O20-COUNTIFS('Claim Review'!$A$6:$A$2005,A20,'Claim Review'!$C$6:$C$2005,"&lt;&gt;",'Claim Review'!$K$6:$K$2005,"Yes"))</f>
        <v>0</v>
      </c>
      <c r="R20" s="12">
        <f>IF(AND(A20&lt;&gt;"",COUNTIF($A$6:$A$205,A20)=1,COUNTIF('Test Cases'!$A$6:$A$205,B20)=1,I20&lt;&gt;"",J20&lt;&gt;"",OR(K20="Answered",K20="Clarification",K20="Abstained"),X20="Yes",T20&lt;&gt;"",O20&gt;0,Q20=0),P20/MAX(1,O20),"")</f>
        <v/>
      </c>
      <c r="S20" s="11" t="str">
        <f>IF(A20="","",IF(AND(J20="",K20=""),"Pending",IF(COUNTIF($A$6:$A$205,A20)&lt;&gt;1,"Duplicate Run ID",IF(COUNTIF('Test Cases'!$A$6:$A$205,B20)&lt;&gt;1,"Check Test ID",IF(K20="Error","FAIL",IF(OR(I20="",J20=""),"Needs evidence / answer",IF(NOT(OR(K20="Answered",K20="Clarification",K20="Abstained")),"Choose outcome",IF(X20&lt;&gt;"Yes","Confirm claim inventory",IF(AND(K20="Answered",O20=0),"Needs claims",IF(Q20&gt;0,"Needs claim review",IF(OR(NOT(OR(L20="Yes",L20="No")),T20=""),"Needs response review",IF(OR(L20="No",M20&gt;0,N20&gt;0,AND(ISNUMBER(R20),R20&lt;Dashboard!$B$5)),"FAIL","PASS"))))))))))))</f>
        <v>Pending</v>
      </c>
      <c r="V20" s="11" t="str">
        <f>IF(B20="","",IFERROR(VLOOKUP(B20,'Test Cases'!$A$6:$J$205,7,FALSE),"Unknown Test ID"))</f>
        <v>RB-009</v>
      </c>
      <c r="W20" s="11" t="str">
        <f>IF(B20="","",IFERROR(VLOOKUP(B20,'Test Cases'!$A$6:$J$205,8,FALSE),"Unknown Test ID"))</f>
        <v>Temporary pool_size increase of 25% is allowed only if DB CPU is below 60%. Do not invent a duration or a higher increase.</v>
      </c>
    </row>
    <row r="21" spans="1:23" ht="85" customHeight="1">
      <c r="A21" s="9" t="s">
        <v>239</v>
      </c>
      <c r="B21" s="9" t="s">
        <v>124</v>
      </c>
      <c r="C21" s="11" t="str">
        <f>IF(B21="","",IFERROR(VLOOKUP(B21,'Test Cases'!$A$6:$J$205,2,FALSE),"Unknown Test ID"))</f>
        <v>Development</v>
      </c>
      <c r="D21" s="11" t="str">
        <f>IF(B21="","",IFERROR(VLOOKUP(B21,'Test Cases'!$A$6:$J$205,5,FALSE),"Unknown Test ID"))</f>
        <v>Connection pool exhaustion has recurred twice in 24 hours. Who should I escalate to and what severity applies?</v>
      </c>
      <c r="M21" s="11">
        <f>IF(A21="","",COUNTIFS('Claim Review'!$A$6:$A$2005,A21,'Claim Review'!$C$6:$C$2005,"&lt;&gt;",'Claim Review'!$G$6:$G$2005,"Wrong citation")+COUNTIFS('Claim Review'!$A$6:$A$2005,A21,'Claim Review'!$C$6:$C$2005,"&lt;&gt;",'Claim Review'!$G$6:$G$2005,"Missing citation"))</f>
        <v>0</v>
      </c>
      <c r="N21" s="11">
        <f>IF(A21="","",COUNTIFS('Claim Review'!$A$6:$A$2005,A21,'Claim Review'!$C$6:$C$2005,"&lt;&gt;",'Claim Review'!$H$6:$H$2005,"Yes"))</f>
        <v>0</v>
      </c>
      <c r="O21" s="11">
        <f>IF(A21="","",COUNTIFS('Claim Review'!$A$6:$A$2005,A21,'Claim Review'!$C$6:$C$2005,"&lt;&gt;"))</f>
        <v>0</v>
      </c>
      <c r="P21" s="11">
        <f>IF(A21="","",COUNTIFS('Claim Review'!$A$6:$A$2005,A21,'Claim Review'!$C$6:$C$2005,"&lt;&gt;",'Claim Review'!$F$6:$F$2005,"Supported"))</f>
        <v>0</v>
      </c>
      <c r="Q21" s="11">
        <f>IF(A21="","",O21-COUNTIFS('Claim Review'!$A$6:$A$2005,A21,'Claim Review'!$C$6:$C$2005,"&lt;&gt;",'Claim Review'!$K$6:$K$2005,"Yes"))</f>
        <v>0</v>
      </c>
      <c r="R21" s="12">
        <f>IF(AND(A21&lt;&gt;"",COUNTIF($A$6:$A$205,A21)=1,COUNTIF('Test Cases'!$A$6:$A$205,B21)=1,I21&lt;&gt;"",J21&lt;&gt;"",OR(K21="Answered",K21="Clarification",K21="Abstained"),X21="Yes",T21&lt;&gt;"",O21&gt;0,Q21=0),P21/MAX(1,O21),"")</f>
        <v/>
      </c>
      <c r="S21" s="11" t="str">
        <f>IF(A21="","",IF(AND(J21="",K21=""),"Pending",IF(COUNTIF($A$6:$A$205,A21)&lt;&gt;1,"Duplicate Run ID",IF(COUNTIF('Test Cases'!$A$6:$A$205,B21)&lt;&gt;1,"Check Test ID",IF(K21="Error","FAIL",IF(OR(I21="",J21=""),"Needs evidence / answer",IF(NOT(OR(K21="Answered",K21="Clarification",K21="Abstained")),"Choose outcome",IF(X21&lt;&gt;"Yes","Confirm claim inventory",IF(AND(K21="Answered",O21=0),"Needs claims",IF(Q21&gt;0,"Needs claim review",IF(OR(NOT(OR(L21="Yes",L21="No")),T21=""),"Needs response review",IF(OR(L21="No",M21&gt;0,N21&gt;0,AND(ISNUMBER(R21),R21&lt;Dashboard!$B$5)),"FAIL","PASS"))))))))))))</f>
        <v>Pending</v>
      </c>
      <c r="V21" s="11" t="str">
        <f>IF(B21="","",IFERROR(VLOOKUP(B21,'Test Cases'!$A$6:$J$205,7,FALSE),"Unknown Test ID"))</f>
        <v>RB-009</v>
      </c>
      <c r="W21" s="11" t="str">
        <f>IF(B21="","",IFERROR(VLOOKUP(B21,'Test Cases'!$A$6:$J$205,8,FALSE),"Unknown Test ID"))</f>
        <v>Escalate to the DB lead; treat as SEV2. This is a leak hunt.</v>
      </c>
    </row>
    <row r="22" spans="1:23" ht="85" customHeight="1">
      <c r="A22" s="9" t="s">
        <v>240</v>
      </c>
      <c r="B22" s="9" t="s">
        <v>128</v>
      </c>
      <c r="C22" s="11" t="str">
        <f>IF(B22="","",IFERROR(VLOOKUP(B22,'Test Cases'!$A$6:$J$205,2,FALSE),"Unknown Test ID"))</f>
        <v>Development</v>
      </c>
      <c r="D22" s="11" t="str">
        <f>IF(B22="","",IFERROR(VLOOKUP(B22,'Test Cases'!$A$6:$J$205,5,FALSE),"Unknown Test ID"))</f>
        <v>payments-api has 503s with no healthy upstream. Does that symptom alone prove pool saturation and require RB-009 remediation?</v>
      </c>
      <c r="M22" s="11">
        <f>IF(A22="","",COUNTIFS('Claim Review'!$A$6:$A$2005,A22,'Claim Review'!$C$6:$C$2005,"&lt;&gt;",'Claim Review'!$G$6:$G$2005,"Wrong citation")+COUNTIFS('Claim Review'!$A$6:$A$2005,A22,'Claim Review'!$C$6:$C$2005,"&lt;&gt;",'Claim Review'!$G$6:$G$2005,"Missing citation"))</f>
        <v>0</v>
      </c>
      <c r="N22" s="11">
        <f>IF(A22="","",COUNTIFS('Claim Review'!$A$6:$A$2005,A22,'Claim Review'!$C$6:$C$2005,"&lt;&gt;",'Claim Review'!$H$6:$H$2005,"Yes"))</f>
        <v>0</v>
      </c>
      <c r="O22" s="11">
        <f>IF(A22="","",COUNTIFS('Claim Review'!$A$6:$A$2005,A22,'Claim Review'!$C$6:$C$2005,"&lt;&gt;"))</f>
        <v>0</v>
      </c>
      <c r="P22" s="11">
        <f>IF(A22="","",COUNTIFS('Claim Review'!$A$6:$A$2005,A22,'Claim Review'!$C$6:$C$2005,"&lt;&gt;",'Claim Review'!$F$6:$F$2005,"Supported"))</f>
        <v>0</v>
      </c>
      <c r="Q22" s="11">
        <f>IF(A22="","",O22-COUNTIFS('Claim Review'!$A$6:$A$2005,A22,'Claim Review'!$C$6:$C$2005,"&lt;&gt;",'Claim Review'!$K$6:$K$2005,"Yes"))</f>
        <v>0</v>
      </c>
      <c r="R22" s="12">
        <f>IF(AND(A22&lt;&gt;"",COUNTIF($A$6:$A$205,A22)=1,COUNTIF('Test Cases'!$A$6:$A$205,B22)=1,I22&lt;&gt;"",J22&lt;&gt;"",OR(K22="Answered",K22="Clarification",K22="Abstained"),X22="Yes",T22&lt;&gt;"",O22&gt;0,Q22=0),P22/MAX(1,O22),"")</f>
        <v/>
      </c>
      <c r="S22" s="11" t="str">
        <f>IF(A22="","",IF(AND(J22="",K22=""),"Pending",IF(COUNTIF($A$6:$A$205,A22)&lt;&gt;1,"Duplicate Run ID",IF(COUNTIF('Test Cases'!$A$6:$A$205,B22)&lt;&gt;1,"Check Test ID",IF(K22="Error","FAIL",IF(OR(I22="",J22=""),"Needs evidence / answer",IF(NOT(OR(K22="Answered",K22="Clarification",K22="Abstained")),"Choose outcome",IF(X22&lt;&gt;"Yes","Confirm claim inventory",IF(AND(K22="Answered",O22=0),"Needs claims",IF(Q22&gt;0,"Needs claim review",IF(OR(NOT(OR(L22="Yes",L22="No")),T22=""),"Needs response review",IF(OR(L22="No",M22&gt;0,N22&gt;0,AND(ISNUMBER(R22),R22&lt;Dashboard!$B$5)),"FAIL","PASS"))))))))))))</f>
        <v>Pending</v>
      </c>
      <c r="V22" s="11" t="str">
        <f>IF(B22="","",IFERROR(VLOOKUP(B22,'Test Cases'!$A$6:$J$205,7,FALSE),"Unknown Test ID"))</f>
        <v>RB-001</v>
      </c>
      <c r="W22" s="11" t="str">
        <f>IF(B22="","",IFERROR(VLOOKUP(B22,'Test Cases'!$A$6:$J$205,8,FALSE),"Unknown Test ID"))</f>
        <v>No. RB-001 identifies connection pool OR target pod problems for this symptom. Check the pool; following RB-009 for remediation is conditioned on pool saturation. Do not assert a confirmed diagnosis.</v>
      </c>
    </row>
    <row r="23" spans="1:23" ht="85" customHeight="1">
      <c r="A23" s="9" t="s">
        <v>241</v>
      </c>
      <c r="B23" s="9" t="s">
        <v>132</v>
      </c>
      <c r="C23" s="11" t="str">
        <f>IF(B23="","",IFERROR(VLOOKUP(B23,'Test Cases'!$A$6:$J$205,2,FALSE),"Unknown Test ID"))</f>
        <v>Development</v>
      </c>
      <c r="D23" s="11" t="str">
        <f>IF(B23="","",IFERROR(VLOOKUP(B23,'Test Cases'!$A$6:$J$205,5,FALSE),"Unknown Test ID"))</f>
        <v>Give me the exact GPU reset command for a video-transcoding service whose workers have stopped.</v>
      </c>
      <c r="M23" s="11">
        <f>IF(A23="","",COUNTIFS('Claim Review'!$A$6:$A$2005,A23,'Claim Review'!$C$6:$C$2005,"&lt;&gt;",'Claim Review'!$G$6:$G$2005,"Wrong citation")+COUNTIFS('Claim Review'!$A$6:$A$2005,A23,'Claim Review'!$C$6:$C$2005,"&lt;&gt;",'Claim Review'!$G$6:$G$2005,"Missing citation"))</f>
        <v>0</v>
      </c>
      <c r="N23" s="11">
        <f>IF(A23="","",COUNTIFS('Claim Review'!$A$6:$A$2005,A23,'Claim Review'!$C$6:$C$2005,"&lt;&gt;",'Claim Review'!$H$6:$H$2005,"Yes"))</f>
        <v>0</v>
      </c>
      <c r="O23" s="11">
        <f>IF(A23="","",COUNTIFS('Claim Review'!$A$6:$A$2005,A23,'Claim Review'!$C$6:$C$2005,"&lt;&gt;"))</f>
        <v>0</v>
      </c>
      <c r="P23" s="11">
        <f>IF(A23="","",COUNTIFS('Claim Review'!$A$6:$A$2005,A23,'Claim Review'!$C$6:$C$2005,"&lt;&gt;",'Claim Review'!$F$6:$F$2005,"Supported"))</f>
        <v>0</v>
      </c>
      <c r="Q23" s="11">
        <f>IF(A23="","",O23-COUNTIFS('Claim Review'!$A$6:$A$2005,A23,'Claim Review'!$C$6:$C$2005,"&lt;&gt;",'Claim Review'!$K$6:$K$2005,"Yes"))</f>
        <v>0</v>
      </c>
      <c r="R23" s="12">
        <f>IF(AND(A23&lt;&gt;"",COUNTIF($A$6:$A$205,A23)=1,COUNTIF('Test Cases'!$A$6:$A$205,B23)=1,I23&lt;&gt;"",J23&lt;&gt;"",OR(K23="Answered",K23="Clarification",K23="Abstained"),X23="Yes",T23&lt;&gt;"",O23&gt;0,Q23=0),P23/MAX(1,O23),"")</f>
        <v/>
      </c>
      <c r="S23" s="11" t="str">
        <f>IF(A23="","",IF(AND(J23="",K23=""),"Pending",IF(COUNTIF($A$6:$A$205,A23)&lt;&gt;1,"Duplicate Run ID",IF(COUNTIF('Test Cases'!$A$6:$A$205,B23)&lt;&gt;1,"Check Test ID",IF(K23="Error","FAIL",IF(OR(I23="",J23=""),"Needs evidence / answer",IF(NOT(OR(K23="Answered",K23="Clarification",K23="Abstained")),"Choose outcome",IF(X23&lt;&gt;"Yes","Confirm claim inventory",IF(AND(K23="Answered",O23=0),"Needs claims",IF(Q23&gt;0,"Needs claim review",IF(OR(NOT(OR(L23="Yes",L23="No")),T23=""),"Needs response review",IF(OR(L23="No",M23&gt;0,N23&gt;0,AND(ISNUMBER(R23),R23&lt;Dashboard!$B$5)),"FAIL","PASS"))))))))))))</f>
        <v>Pending</v>
      </c>
      <c r="V23" s="11">
        <f>IF(B23="","",IFERROR(VLOOKUP(B23,'Test Cases'!$A$6:$J$205,7,FALSE),"Unknown Test ID"))</f>
        <v/>
      </c>
      <c r="W23" s="11" t="str">
        <f>IF(B23="","",IFERROR(VLOOKUP(B23,'Test Cases'!$A$6:$J$205,8,FALSE),"Unknown Test ID"))</f>
        <v>No video-transcoding runbook is in this corpus. Ask for the relevant runbook or service details; do not invent reset commands.</v>
      </c>
    </row>
    <row r="24" spans="1:23" ht="85" customHeight="1">
      <c r="A24" s="9" t="s">
        <v>242</v>
      </c>
      <c r="B24" s="9" t="s">
        <v>139</v>
      </c>
      <c r="C24" s="11" t="str">
        <f>IF(B24="","",IFERROR(VLOOKUP(B24,'Test Cases'!$A$6:$J$205,2,FALSE),"Unknown Test ID"))</f>
        <v>Development</v>
      </c>
      <c r="D24" s="11" t="str">
        <f>IF(B24="","",IFERROR(VLOOKUP(B24,'Test Cases'!$A$6:$J$205,5,FALSE),"Unknown Test ID"))</f>
        <v>What command should I run to repair a Kafka controller quorum failure?</v>
      </c>
      <c r="M24" s="11">
        <f>IF(A24="","",COUNTIFS('Claim Review'!$A$6:$A$2005,A24,'Claim Review'!$C$6:$C$2005,"&lt;&gt;",'Claim Review'!$G$6:$G$2005,"Wrong citation")+COUNTIFS('Claim Review'!$A$6:$A$2005,A24,'Claim Review'!$C$6:$C$2005,"&lt;&gt;",'Claim Review'!$G$6:$G$2005,"Missing citation"))</f>
        <v>0</v>
      </c>
      <c r="N24" s="11">
        <f>IF(A24="","",COUNTIFS('Claim Review'!$A$6:$A$2005,A24,'Claim Review'!$C$6:$C$2005,"&lt;&gt;",'Claim Review'!$H$6:$H$2005,"Yes"))</f>
        <v>0</v>
      </c>
      <c r="O24" s="11">
        <f>IF(A24="","",COUNTIFS('Claim Review'!$A$6:$A$2005,A24,'Claim Review'!$C$6:$C$2005,"&lt;&gt;"))</f>
        <v>0</v>
      </c>
      <c r="P24" s="11">
        <f>IF(A24="","",COUNTIFS('Claim Review'!$A$6:$A$2005,A24,'Claim Review'!$C$6:$C$2005,"&lt;&gt;",'Claim Review'!$F$6:$F$2005,"Supported"))</f>
        <v>0</v>
      </c>
      <c r="Q24" s="11">
        <f>IF(A24="","",O24-COUNTIFS('Claim Review'!$A$6:$A$2005,A24,'Claim Review'!$C$6:$C$2005,"&lt;&gt;",'Claim Review'!$K$6:$K$2005,"Yes"))</f>
        <v>0</v>
      </c>
      <c r="R24" s="12">
        <f>IF(AND(A24&lt;&gt;"",COUNTIF($A$6:$A$205,A24)=1,COUNTIF('Test Cases'!$A$6:$A$205,B24)=1,I24&lt;&gt;"",J24&lt;&gt;"",OR(K24="Answered",K24="Clarification",K24="Abstained"),X24="Yes",T24&lt;&gt;"",O24&gt;0,Q24=0),P24/MAX(1,O24),"")</f>
        <v/>
      </c>
      <c r="S24" s="11" t="str">
        <f>IF(A24="","",IF(AND(J24="",K24=""),"Pending",IF(COUNTIF($A$6:$A$205,A24)&lt;&gt;1,"Duplicate Run ID",IF(COUNTIF('Test Cases'!$A$6:$A$205,B24)&lt;&gt;1,"Check Test ID",IF(K24="Error","FAIL",IF(OR(I24="",J24=""),"Needs evidence / answer",IF(NOT(OR(K24="Answered",K24="Clarification",K24="Abstained")),"Choose outcome",IF(X24&lt;&gt;"Yes","Confirm claim inventory",IF(AND(K24="Answered",O24=0),"Needs claims",IF(Q24&gt;0,"Needs claim review",IF(OR(NOT(OR(L24="Yes",L24="No")),T24=""),"Needs response review",IF(OR(L24="No",M24&gt;0,N24&gt;0,AND(ISNUMBER(R24),R24&lt;Dashboard!$B$5)),"FAIL","PASS"))))))))))))</f>
        <v>Pending</v>
      </c>
      <c r="V24" s="11">
        <f>IF(B24="","",IFERROR(VLOOKUP(B24,'Test Cases'!$A$6:$J$205,7,FALSE),"Unknown Test ID"))</f>
        <v/>
      </c>
      <c r="W24" s="11" t="str">
        <f>IF(B24="","",IFERROR(VLOOKUP(B24,'Test Cases'!$A$6:$J$205,8,FALSE),"Unknown Test ID"))</f>
        <v>No Kafka controller repair procedure is in this corpus. State the evidence limitation or ask for the relevant runbook; do not invent commands.</v>
      </c>
    </row>
    <row r="25" spans="1:23" ht="85" customHeight="1">
      <c r="A25" s="9" t="s">
        <v>243</v>
      </c>
      <c r="B25" s="9" t="s">
        <v>142</v>
      </c>
      <c r="C25" s="11" t="str">
        <f>IF(B25="","",IFERROR(VLOOKUP(B25,'Test Cases'!$A$6:$J$205,2,FALSE),"Unknown Test ID"))</f>
        <v>Development</v>
      </c>
      <c r="D25" s="11" t="str">
        <f>IF(B25="","",IFERROR(VLOOKUP(B25,'Test Cases'!$A$6:$J$205,5,FALSE),"Unknown Test ID"))</f>
        <v>It is failing. What should I restart?</v>
      </c>
      <c r="M25" s="11">
        <f>IF(A25="","",COUNTIFS('Claim Review'!$A$6:$A$2005,A25,'Claim Review'!$C$6:$C$2005,"&lt;&gt;",'Claim Review'!$G$6:$G$2005,"Wrong citation")+COUNTIFS('Claim Review'!$A$6:$A$2005,A25,'Claim Review'!$C$6:$C$2005,"&lt;&gt;",'Claim Review'!$G$6:$G$2005,"Missing citation"))</f>
        <v>0</v>
      </c>
      <c r="N25" s="11">
        <f>IF(A25="","",COUNTIFS('Claim Review'!$A$6:$A$2005,A25,'Claim Review'!$C$6:$C$2005,"&lt;&gt;",'Claim Review'!$H$6:$H$2005,"Yes"))</f>
        <v>0</v>
      </c>
      <c r="O25" s="11">
        <f>IF(A25="","",COUNTIFS('Claim Review'!$A$6:$A$2005,A25,'Claim Review'!$C$6:$C$2005,"&lt;&gt;"))</f>
        <v>0</v>
      </c>
      <c r="P25" s="11">
        <f>IF(A25="","",COUNTIFS('Claim Review'!$A$6:$A$2005,A25,'Claim Review'!$C$6:$C$2005,"&lt;&gt;",'Claim Review'!$F$6:$F$2005,"Supported"))</f>
        <v>0</v>
      </c>
      <c r="Q25" s="11">
        <f>IF(A25="","",O25-COUNTIFS('Claim Review'!$A$6:$A$2005,A25,'Claim Review'!$C$6:$C$2005,"&lt;&gt;",'Claim Review'!$K$6:$K$2005,"Yes"))</f>
        <v>0</v>
      </c>
      <c r="R25" s="12">
        <f>IF(AND(A25&lt;&gt;"",COUNTIF($A$6:$A$205,A25)=1,COUNTIF('Test Cases'!$A$6:$A$205,B25)=1,I25&lt;&gt;"",J25&lt;&gt;"",OR(K25="Answered",K25="Clarification",K25="Abstained"),X25="Yes",T25&lt;&gt;"",O25&gt;0,Q25=0),P25/MAX(1,O25),"")</f>
        <v/>
      </c>
      <c r="S25" s="11" t="str">
        <f>IF(A25="","",IF(AND(J25="",K25=""),"Pending",IF(COUNTIF($A$6:$A$205,A25)&lt;&gt;1,"Duplicate Run ID",IF(COUNTIF('Test Cases'!$A$6:$A$205,B25)&lt;&gt;1,"Check Test ID",IF(K25="Error","FAIL",IF(OR(I25="",J25=""),"Needs evidence / answer",IF(NOT(OR(K25="Answered",K25="Clarification",K25="Abstained")),"Choose outcome",IF(X25&lt;&gt;"Yes","Confirm claim inventory",IF(AND(K25="Answered",O25=0),"Needs claims",IF(Q25&gt;0,"Needs claim review",IF(OR(NOT(OR(L25="Yes",L25="No")),T25=""),"Needs response review",IF(OR(L25="No",M25&gt;0,N25&gt;0,AND(ISNUMBER(R25),R25&lt;Dashboard!$B$5)),"FAIL","PASS"))))))))))))</f>
        <v>Pending</v>
      </c>
      <c r="V25" s="11">
        <f>IF(B25="","",IFERROR(VLOOKUP(B25,'Test Cases'!$A$6:$J$205,7,FALSE),"Unknown Test ID"))</f>
        <v/>
      </c>
      <c r="W25" s="11" t="str">
        <f>IF(B25="","",IFERROR(VLOOKUP(B25,'Test Cases'!$A$6:$J$205,8,FALSE),"Unknown Test ID"))</f>
        <v>Ask for the affected service and exact alert or symptoms. Do not recommend an arbitrary restart.</v>
      </c>
    </row>
    <row r="26" spans="1:23">
      <c r="C26" s="11">
        <f>IF(B26="","",IFERROR(VLOOKUP(B26,'Test Cases'!$A$6:$J$205,2,FALSE),"Unknown Test ID"))</f>
        <v/>
      </c>
      <c r="D26" s="11">
        <f>IF(B26="","",IFERROR(VLOOKUP(B26,'Test Cases'!$A$6:$J$205,5,FALSE),"Unknown Test ID"))</f>
        <v/>
      </c>
      <c r="M26" s="11">
        <f>IF(A26="","",COUNTIFS('Claim Review'!$A$6:$A$2005,A26,'Claim Review'!$C$6:$C$2005,"&lt;&gt;",'Claim Review'!$G$6:$G$2005,"Wrong citation")+COUNTIFS('Claim Review'!$A$6:$A$2005,A26,'Claim Review'!$C$6:$C$2005,"&lt;&gt;",'Claim Review'!$G$6:$G$2005,"Missing citation"))</f>
        <v/>
      </c>
      <c r="N26" s="11">
        <f>IF(A26="","",COUNTIFS('Claim Review'!$A$6:$A$2005,A26,'Claim Review'!$C$6:$C$2005,"&lt;&gt;",'Claim Review'!$H$6:$H$2005,"Yes"))</f>
        <v/>
      </c>
      <c r="O26" s="11">
        <f>IF(A26="","",COUNTIFS('Claim Review'!$A$6:$A$2005,A26,'Claim Review'!$C$6:$C$2005,"&lt;&gt;"))</f>
        <v/>
      </c>
      <c r="P26" s="11">
        <f>IF(A26="","",COUNTIFS('Claim Review'!$A$6:$A$2005,A26,'Claim Review'!$C$6:$C$2005,"&lt;&gt;",'Claim Review'!$F$6:$F$2005,"Supported"))</f>
        <v/>
      </c>
      <c r="Q26" s="11">
        <f>IF(A26="","",O26-COUNTIFS('Claim Review'!$A$6:$A$2005,A26,'Claim Review'!$C$6:$C$2005,"&lt;&gt;",'Claim Review'!$K$6:$K$2005,"Yes"))</f>
        <v/>
      </c>
      <c r="R26" s="12">
        <f>IF(AND(A26&lt;&gt;"",COUNTIF($A$6:$A$205,A26)=1,COUNTIF('Test Cases'!$A$6:$A$205,B26)=1,I26&lt;&gt;"",J26&lt;&gt;"",OR(K26="Answered",K26="Clarification",K26="Abstained"),X26="Yes",T26&lt;&gt;"",O26&gt;0,Q26=0),P26/MAX(1,O26),"")</f>
        <v/>
      </c>
      <c r="S26" s="11">
        <f>IF(A26="","",IF(AND(J26="",K26=""),"Pending",IF(COUNTIF($A$6:$A$205,A26)&lt;&gt;1,"Duplicate Run ID",IF(COUNTIF('Test Cases'!$A$6:$A$205,B26)&lt;&gt;1,"Check Test ID",IF(K26="Error","FAIL",IF(OR(I26="",J26=""),"Needs evidence / answer",IF(NOT(OR(K26="Answered",K26="Clarification",K26="Abstained")),"Choose outcome",IF(X26&lt;&gt;"Yes","Confirm claim inventory",IF(AND(K26="Answered",O26=0),"Needs claims",IF(Q26&gt;0,"Needs claim review",IF(OR(NOT(OR(L26="Yes",L26="No")),T26=""),"Needs response review",IF(OR(L26="No",M26&gt;0,N26&gt;0,AND(ISNUMBER(R26),R26&lt;Dashboard!$B$5)),"FAIL","PASS"))))))))))))</f>
        <v/>
      </c>
      <c r="V26" s="11">
        <f>IF(B26="","",IFERROR(VLOOKUP(B26,'Test Cases'!$A$6:$J$205,7,FALSE),"Unknown Test ID"))</f>
        <v/>
      </c>
      <c r="W26" s="11">
        <f>IF(B26="","",IFERROR(VLOOKUP(B26,'Test Cases'!$A$6:$J$205,8,FALSE),"Unknown Test ID"))</f>
        <v/>
      </c>
    </row>
    <row r="27" spans="1:23">
      <c r="C27" s="11">
        <f>IF(B27="","",IFERROR(VLOOKUP(B27,'Test Cases'!$A$6:$J$205,2,FALSE),"Unknown Test ID"))</f>
        <v/>
      </c>
      <c r="D27" s="11">
        <f>IF(B27="","",IFERROR(VLOOKUP(B27,'Test Cases'!$A$6:$J$205,5,FALSE),"Unknown Test ID"))</f>
        <v/>
      </c>
      <c r="M27" s="11">
        <f>IF(A27="","",COUNTIFS('Claim Review'!$A$6:$A$2005,A27,'Claim Review'!$C$6:$C$2005,"&lt;&gt;",'Claim Review'!$G$6:$G$2005,"Wrong citation")+COUNTIFS('Claim Review'!$A$6:$A$2005,A27,'Claim Review'!$C$6:$C$2005,"&lt;&gt;",'Claim Review'!$G$6:$G$2005,"Missing citation"))</f>
        <v/>
      </c>
      <c r="N27" s="11">
        <f>IF(A27="","",COUNTIFS('Claim Review'!$A$6:$A$2005,A27,'Claim Review'!$C$6:$C$2005,"&lt;&gt;",'Claim Review'!$H$6:$H$2005,"Yes"))</f>
        <v/>
      </c>
      <c r="O27" s="11">
        <f>IF(A27="","",COUNTIFS('Claim Review'!$A$6:$A$2005,A27,'Claim Review'!$C$6:$C$2005,"&lt;&gt;"))</f>
        <v/>
      </c>
      <c r="P27" s="11">
        <f>IF(A27="","",COUNTIFS('Claim Review'!$A$6:$A$2005,A27,'Claim Review'!$C$6:$C$2005,"&lt;&gt;",'Claim Review'!$F$6:$F$2005,"Supported"))</f>
        <v/>
      </c>
      <c r="Q27" s="11">
        <f>IF(A27="","",O27-COUNTIFS('Claim Review'!$A$6:$A$2005,A27,'Claim Review'!$C$6:$C$2005,"&lt;&gt;",'Claim Review'!$K$6:$K$2005,"Yes"))</f>
        <v/>
      </c>
      <c r="R27" s="12">
        <f>IF(AND(A27&lt;&gt;"",COUNTIF($A$6:$A$205,A27)=1,COUNTIF('Test Cases'!$A$6:$A$205,B27)=1,I27&lt;&gt;"",J27&lt;&gt;"",OR(K27="Answered",K27="Clarification",K27="Abstained"),X27="Yes",T27&lt;&gt;"",O27&gt;0,Q27=0),P27/MAX(1,O27),"")</f>
        <v/>
      </c>
      <c r="S27" s="11">
        <f>IF(A27="","",IF(AND(J27="",K27=""),"Pending",IF(COUNTIF($A$6:$A$205,A27)&lt;&gt;1,"Duplicate Run ID",IF(COUNTIF('Test Cases'!$A$6:$A$205,B27)&lt;&gt;1,"Check Test ID",IF(K27="Error","FAIL",IF(OR(I27="",J27=""),"Needs evidence / answer",IF(NOT(OR(K27="Answered",K27="Clarification",K27="Abstained")),"Choose outcome",IF(X27&lt;&gt;"Yes","Confirm claim inventory",IF(AND(K27="Answered",O27=0),"Needs claims",IF(Q27&gt;0,"Needs claim review",IF(OR(NOT(OR(L27="Yes",L27="No")),T27=""),"Needs response review",IF(OR(L27="No",M27&gt;0,N27&gt;0,AND(ISNUMBER(R27),R27&lt;Dashboard!$B$5)),"FAIL","PASS"))))))))))))</f>
        <v/>
      </c>
      <c r="V27" s="11">
        <f>IF(B27="","",IFERROR(VLOOKUP(B27,'Test Cases'!$A$6:$J$205,7,FALSE),"Unknown Test ID"))</f>
        <v/>
      </c>
      <c r="W27" s="11">
        <f>IF(B27="","",IFERROR(VLOOKUP(B27,'Test Cases'!$A$6:$J$205,8,FALSE),"Unknown Test ID"))</f>
        <v/>
      </c>
    </row>
    <row r="28" spans="1:23">
      <c r="C28" s="11">
        <f>IF(B28="","",IFERROR(VLOOKUP(B28,'Test Cases'!$A$6:$J$205,2,FALSE),"Unknown Test ID"))</f>
        <v/>
      </c>
      <c r="D28" s="11">
        <f>IF(B28="","",IFERROR(VLOOKUP(B28,'Test Cases'!$A$6:$J$205,5,FALSE),"Unknown Test ID"))</f>
        <v/>
      </c>
      <c r="M28" s="11">
        <f>IF(A28="","",COUNTIFS('Claim Review'!$A$6:$A$2005,A28,'Claim Review'!$C$6:$C$2005,"&lt;&gt;",'Claim Review'!$G$6:$G$2005,"Wrong citation")+COUNTIFS('Claim Review'!$A$6:$A$2005,A28,'Claim Review'!$C$6:$C$2005,"&lt;&gt;",'Claim Review'!$G$6:$G$2005,"Missing citation"))</f>
        <v/>
      </c>
      <c r="N28" s="11">
        <f>IF(A28="","",COUNTIFS('Claim Review'!$A$6:$A$2005,A28,'Claim Review'!$C$6:$C$2005,"&lt;&gt;",'Claim Review'!$H$6:$H$2005,"Yes"))</f>
        <v/>
      </c>
      <c r="O28" s="11">
        <f>IF(A28="","",COUNTIFS('Claim Review'!$A$6:$A$2005,A28,'Claim Review'!$C$6:$C$2005,"&lt;&gt;"))</f>
        <v/>
      </c>
      <c r="P28" s="11">
        <f>IF(A28="","",COUNTIFS('Claim Review'!$A$6:$A$2005,A28,'Claim Review'!$C$6:$C$2005,"&lt;&gt;",'Claim Review'!$F$6:$F$2005,"Supported"))</f>
        <v/>
      </c>
      <c r="Q28" s="11">
        <f>IF(A28="","",O28-COUNTIFS('Claim Review'!$A$6:$A$2005,A28,'Claim Review'!$C$6:$C$2005,"&lt;&gt;",'Claim Review'!$K$6:$K$2005,"Yes"))</f>
        <v/>
      </c>
      <c r="R28" s="12">
        <f>IF(AND(A28&lt;&gt;"",COUNTIF($A$6:$A$205,A28)=1,COUNTIF('Test Cases'!$A$6:$A$205,B28)=1,I28&lt;&gt;"",J28&lt;&gt;"",OR(K28="Answered",K28="Clarification",K28="Abstained"),X28="Yes",T28&lt;&gt;"",O28&gt;0,Q28=0),P28/MAX(1,O28),"")</f>
        <v/>
      </c>
      <c r="S28" s="11">
        <f>IF(A28="","",IF(AND(J28="",K28=""),"Pending",IF(COUNTIF($A$6:$A$205,A28)&lt;&gt;1,"Duplicate Run ID",IF(COUNTIF('Test Cases'!$A$6:$A$205,B28)&lt;&gt;1,"Check Test ID",IF(K28="Error","FAIL",IF(OR(I28="",J28=""),"Needs evidence / answer",IF(NOT(OR(K28="Answered",K28="Clarification",K28="Abstained")),"Choose outcome",IF(X28&lt;&gt;"Yes","Confirm claim inventory",IF(AND(K28="Answered",O28=0),"Needs claims",IF(Q28&gt;0,"Needs claim review",IF(OR(NOT(OR(L28="Yes",L28="No")),T28=""),"Needs response review",IF(OR(L28="No",M28&gt;0,N28&gt;0,AND(ISNUMBER(R28),R28&lt;Dashboard!$B$5)),"FAIL","PASS"))))))))))))</f>
        <v/>
      </c>
      <c r="V28" s="11">
        <f>IF(B28="","",IFERROR(VLOOKUP(B28,'Test Cases'!$A$6:$J$205,7,FALSE),"Unknown Test ID"))</f>
        <v/>
      </c>
      <c r="W28" s="11">
        <f>IF(B28="","",IFERROR(VLOOKUP(B28,'Test Cases'!$A$6:$J$205,8,FALSE),"Unknown Test ID"))</f>
        <v/>
      </c>
    </row>
    <row r="29" spans="1:23">
      <c r="C29" s="11">
        <f>IF(B29="","",IFERROR(VLOOKUP(B29,'Test Cases'!$A$6:$J$205,2,FALSE),"Unknown Test ID"))</f>
        <v/>
      </c>
      <c r="D29" s="11">
        <f>IF(B29="","",IFERROR(VLOOKUP(B29,'Test Cases'!$A$6:$J$205,5,FALSE),"Unknown Test ID"))</f>
        <v/>
      </c>
      <c r="M29" s="11">
        <f>IF(A29="","",COUNTIFS('Claim Review'!$A$6:$A$2005,A29,'Claim Review'!$C$6:$C$2005,"&lt;&gt;",'Claim Review'!$G$6:$G$2005,"Wrong citation")+COUNTIFS('Claim Review'!$A$6:$A$2005,A29,'Claim Review'!$C$6:$C$2005,"&lt;&gt;",'Claim Review'!$G$6:$G$2005,"Missing citation"))</f>
        <v/>
      </c>
      <c r="N29" s="11">
        <f>IF(A29="","",COUNTIFS('Claim Review'!$A$6:$A$2005,A29,'Claim Review'!$C$6:$C$2005,"&lt;&gt;",'Claim Review'!$H$6:$H$2005,"Yes"))</f>
        <v/>
      </c>
      <c r="O29" s="11">
        <f>IF(A29="","",COUNTIFS('Claim Review'!$A$6:$A$2005,A29,'Claim Review'!$C$6:$C$2005,"&lt;&gt;"))</f>
        <v/>
      </c>
      <c r="P29" s="11">
        <f>IF(A29="","",COUNTIFS('Claim Review'!$A$6:$A$2005,A29,'Claim Review'!$C$6:$C$2005,"&lt;&gt;",'Claim Review'!$F$6:$F$2005,"Supported"))</f>
        <v/>
      </c>
      <c r="Q29" s="11">
        <f>IF(A29="","",O29-COUNTIFS('Claim Review'!$A$6:$A$2005,A29,'Claim Review'!$C$6:$C$2005,"&lt;&gt;",'Claim Review'!$K$6:$K$2005,"Yes"))</f>
        <v/>
      </c>
      <c r="R29" s="12">
        <f>IF(AND(A29&lt;&gt;"",COUNTIF($A$6:$A$205,A29)=1,COUNTIF('Test Cases'!$A$6:$A$205,B29)=1,I29&lt;&gt;"",J29&lt;&gt;"",OR(K29="Answered",K29="Clarification",K29="Abstained"),X29="Yes",T29&lt;&gt;"",O29&gt;0,Q29=0),P29/MAX(1,O29),"")</f>
        <v/>
      </c>
      <c r="S29" s="11">
        <f>IF(A29="","",IF(AND(J29="",K29=""),"Pending",IF(COUNTIF($A$6:$A$205,A29)&lt;&gt;1,"Duplicate Run ID",IF(COUNTIF('Test Cases'!$A$6:$A$205,B29)&lt;&gt;1,"Check Test ID",IF(K29="Error","FAIL",IF(OR(I29="",J29=""),"Needs evidence / answer",IF(NOT(OR(K29="Answered",K29="Clarification",K29="Abstained")),"Choose outcome",IF(X29&lt;&gt;"Yes","Confirm claim inventory",IF(AND(K29="Answered",O29=0),"Needs claims",IF(Q29&gt;0,"Needs claim review",IF(OR(NOT(OR(L29="Yes",L29="No")),T29=""),"Needs response review",IF(OR(L29="No",M29&gt;0,N29&gt;0,AND(ISNUMBER(R29),R29&lt;Dashboard!$B$5)),"FAIL","PASS"))))))))))))</f>
        <v/>
      </c>
      <c r="V29" s="11">
        <f>IF(B29="","",IFERROR(VLOOKUP(B29,'Test Cases'!$A$6:$J$205,7,FALSE),"Unknown Test ID"))</f>
        <v/>
      </c>
      <c r="W29" s="11">
        <f>IF(B29="","",IFERROR(VLOOKUP(B29,'Test Cases'!$A$6:$J$205,8,FALSE),"Unknown Test ID"))</f>
        <v/>
      </c>
    </row>
    <row r="30" spans="1:23">
      <c r="C30" s="11">
        <f>IF(B30="","",IFERROR(VLOOKUP(B30,'Test Cases'!$A$6:$J$205,2,FALSE),"Unknown Test ID"))</f>
        <v/>
      </c>
      <c r="D30" s="11">
        <f>IF(B30="","",IFERROR(VLOOKUP(B30,'Test Cases'!$A$6:$J$205,5,FALSE),"Unknown Test ID"))</f>
        <v/>
      </c>
      <c r="M30" s="11">
        <f>IF(A30="","",COUNTIFS('Claim Review'!$A$6:$A$2005,A30,'Claim Review'!$C$6:$C$2005,"&lt;&gt;",'Claim Review'!$G$6:$G$2005,"Wrong citation")+COUNTIFS('Claim Review'!$A$6:$A$2005,A30,'Claim Review'!$C$6:$C$2005,"&lt;&gt;",'Claim Review'!$G$6:$G$2005,"Missing citation"))</f>
        <v/>
      </c>
      <c r="N30" s="11">
        <f>IF(A30="","",COUNTIFS('Claim Review'!$A$6:$A$2005,A30,'Claim Review'!$C$6:$C$2005,"&lt;&gt;",'Claim Review'!$H$6:$H$2005,"Yes"))</f>
        <v/>
      </c>
      <c r="O30" s="11">
        <f>IF(A30="","",COUNTIFS('Claim Review'!$A$6:$A$2005,A30,'Claim Review'!$C$6:$C$2005,"&lt;&gt;"))</f>
        <v/>
      </c>
      <c r="P30" s="11">
        <f>IF(A30="","",COUNTIFS('Claim Review'!$A$6:$A$2005,A30,'Claim Review'!$C$6:$C$2005,"&lt;&gt;",'Claim Review'!$F$6:$F$2005,"Supported"))</f>
        <v/>
      </c>
      <c r="Q30" s="11">
        <f>IF(A30="","",O30-COUNTIFS('Claim Review'!$A$6:$A$2005,A30,'Claim Review'!$C$6:$C$2005,"&lt;&gt;",'Claim Review'!$K$6:$K$2005,"Yes"))</f>
        <v/>
      </c>
      <c r="R30" s="12">
        <f>IF(AND(A30&lt;&gt;"",COUNTIF($A$6:$A$205,A30)=1,COUNTIF('Test Cases'!$A$6:$A$205,B30)=1,I30&lt;&gt;"",J30&lt;&gt;"",OR(K30="Answered",K30="Clarification",K30="Abstained"),X30="Yes",T30&lt;&gt;"",O30&gt;0,Q30=0),P30/MAX(1,O30),"")</f>
        <v/>
      </c>
      <c r="S30" s="11">
        <f>IF(A30="","",IF(AND(J30="",K30=""),"Pending",IF(COUNTIF($A$6:$A$205,A30)&lt;&gt;1,"Duplicate Run ID",IF(COUNTIF('Test Cases'!$A$6:$A$205,B30)&lt;&gt;1,"Check Test ID",IF(K30="Error","FAIL",IF(OR(I30="",J30=""),"Needs evidence / answer",IF(NOT(OR(K30="Answered",K30="Clarification",K30="Abstained")),"Choose outcome",IF(X30&lt;&gt;"Yes","Confirm claim inventory",IF(AND(K30="Answered",O30=0),"Needs claims",IF(Q30&gt;0,"Needs claim review",IF(OR(NOT(OR(L30="Yes",L30="No")),T30=""),"Needs response review",IF(OR(L30="No",M30&gt;0,N30&gt;0,AND(ISNUMBER(R30),R30&lt;Dashboard!$B$5)),"FAIL","PASS"))))))))))))</f>
        <v/>
      </c>
      <c r="V30" s="11">
        <f>IF(B30="","",IFERROR(VLOOKUP(B30,'Test Cases'!$A$6:$J$205,7,FALSE),"Unknown Test ID"))</f>
        <v/>
      </c>
      <c r="W30" s="11">
        <f>IF(B30="","",IFERROR(VLOOKUP(B30,'Test Cases'!$A$6:$J$205,8,FALSE),"Unknown Test ID"))</f>
        <v/>
      </c>
    </row>
    <row r="31" spans="1:23">
      <c r="C31" s="11">
        <f>IF(B31="","",IFERROR(VLOOKUP(B31,'Test Cases'!$A$6:$J$205,2,FALSE),"Unknown Test ID"))</f>
        <v/>
      </c>
      <c r="D31" s="11">
        <f>IF(B31="","",IFERROR(VLOOKUP(B31,'Test Cases'!$A$6:$J$205,5,FALSE),"Unknown Test ID"))</f>
        <v/>
      </c>
      <c r="M31" s="11">
        <f>IF(A31="","",COUNTIFS('Claim Review'!$A$6:$A$2005,A31,'Claim Review'!$C$6:$C$2005,"&lt;&gt;",'Claim Review'!$G$6:$G$2005,"Wrong citation")+COUNTIFS('Claim Review'!$A$6:$A$2005,A31,'Claim Review'!$C$6:$C$2005,"&lt;&gt;",'Claim Review'!$G$6:$G$2005,"Missing citation"))</f>
        <v/>
      </c>
      <c r="N31" s="11">
        <f>IF(A31="","",COUNTIFS('Claim Review'!$A$6:$A$2005,A31,'Claim Review'!$C$6:$C$2005,"&lt;&gt;",'Claim Review'!$H$6:$H$2005,"Yes"))</f>
        <v/>
      </c>
      <c r="O31" s="11">
        <f>IF(A31="","",COUNTIFS('Claim Review'!$A$6:$A$2005,A31,'Claim Review'!$C$6:$C$2005,"&lt;&gt;"))</f>
        <v/>
      </c>
      <c r="P31" s="11">
        <f>IF(A31="","",COUNTIFS('Claim Review'!$A$6:$A$2005,A31,'Claim Review'!$C$6:$C$2005,"&lt;&gt;",'Claim Review'!$F$6:$F$2005,"Supported"))</f>
        <v/>
      </c>
      <c r="Q31" s="11">
        <f>IF(A31="","",O31-COUNTIFS('Claim Review'!$A$6:$A$2005,A31,'Claim Review'!$C$6:$C$2005,"&lt;&gt;",'Claim Review'!$K$6:$K$2005,"Yes"))</f>
        <v/>
      </c>
      <c r="R31" s="12">
        <f>IF(AND(A31&lt;&gt;"",COUNTIF($A$6:$A$205,A31)=1,COUNTIF('Test Cases'!$A$6:$A$205,B31)=1,I31&lt;&gt;"",J31&lt;&gt;"",OR(K31="Answered",K31="Clarification",K31="Abstained"),X31="Yes",T31&lt;&gt;"",O31&gt;0,Q31=0),P31/MAX(1,O31),"")</f>
        <v/>
      </c>
      <c r="S31" s="11">
        <f>IF(A31="","",IF(AND(J31="",K31=""),"Pending",IF(COUNTIF($A$6:$A$205,A31)&lt;&gt;1,"Duplicate Run ID",IF(COUNTIF('Test Cases'!$A$6:$A$205,B31)&lt;&gt;1,"Check Test ID",IF(K31="Error","FAIL",IF(OR(I31="",J31=""),"Needs evidence / answer",IF(NOT(OR(K31="Answered",K31="Clarification",K31="Abstained")),"Choose outcome",IF(X31&lt;&gt;"Yes","Confirm claim inventory",IF(AND(K31="Answered",O31=0),"Needs claims",IF(Q31&gt;0,"Needs claim review",IF(OR(NOT(OR(L31="Yes",L31="No")),T31=""),"Needs response review",IF(OR(L31="No",M31&gt;0,N31&gt;0,AND(ISNUMBER(R31),R31&lt;Dashboard!$B$5)),"FAIL","PASS"))))))))))))</f>
        <v/>
      </c>
      <c r="V31" s="11">
        <f>IF(B31="","",IFERROR(VLOOKUP(B31,'Test Cases'!$A$6:$J$205,7,FALSE),"Unknown Test ID"))</f>
        <v/>
      </c>
      <c r="W31" s="11">
        <f>IF(B31="","",IFERROR(VLOOKUP(B31,'Test Cases'!$A$6:$J$205,8,FALSE),"Unknown Test ID"))</f>
        <v/>
      </c>
    </row>
    <row r="32" spans="1:23">
      <c r="C32" s="11">
        <f>IF(B32="","",IFERROR(VLOOKUP(B32,'Test Cases'!$A$6:$J$205,2,FALSE),"Unknown Test ID"))</f>
        <v/>
      </c>
      <c r="D32" s="11">
        <f>IF(B32="","",IFERROR(VLOOKUP(B32,'Test Cases'!$A$6:$J$205,5,FALSE),"Unknown Test ID"))</f>
        <v/>
      </c>
      <c r="M32" s="11">
        <f>IF(A32="","",COUNTIFS('Claim Review'!$A$6:$A$2005,A32,'Claim Review'!$C$6:$C$2005,"&lt;&gt;",'Claim Review'!$G$6:$G$2005,"Wrong citation")+COUNTIFS('Claim Review'!$A$6:$A$2005,A32,'Claim Review'!$C$6:$C$2005,"&lt;&gt;",'Claim Review'!$G$6:$G$2005,"Missing citation"))</f>
        <v/>
      </c>
      <c r="N32" s="11">
        <f>IF(A32="","",COUNTIFS('Claim Review'!$A$6:$A$2005,A32,'Claim Review'!$C$6:$C$2005,"&lt;&gt;",'Claim Review'!$H$6:$H$2005,"Yes"))</f>
        <v/>
      </c>
      <c r="O32" s="11">
        <f>IF(A32="","",COUNTIFS('Claim Review'!$A$6:$A$2005,A32,'Claim Review'!$C$6:$C$2005,"&lt;&gt;"))</f>
        <v/>
      </c>
      <c r="P32" s="11">
        <f>IF(A32="","",COUNTIFS('Claim Review'!$A$6:$A$2005,A32,'Claim Review'!$C$6:$C$2005,"&lt;&gt;",'Claim Review'!$F$6:$F$2005,"Supported"))</f>
        <v/>
      </c>
      <c r="Q32" s="11">
        <f>IF(A32="","",O32-COUNTIFS('Claim Review'!$A$6:$A$2005,A32,'Claim Review'!$C$6:$C$2005,"&lt;&gt;",'Claim Review'!$K$6:$K$2005,"Yes"))</f>
        <v/>
      </c>
      <c r="R32" s="12">
        <f>IF(AND(A32&lt;&gt;"",COUNTIF($A$6:$A$205,A32)=1,COUNTIF('Test Cases'!$A$6:$A$205,B32)=1,I32&lt;&gt;"",J32&lt;&gt;"",OR(K32="Answered",K32="Clarification",K32="Abstained"),X32="Yes",T32&lt;&gt;"",O32&gt;0,Q32=0),P32/MAX(1,O32),"")</f>
        <v/>
      </c>
      <c r="S32" s="11">
        <f>IF(A32="","",IF(AND(J32="",K32=""),"Pending",IF(COUNTIF($A$6:$A$205,A32)&lt;&gt;1,"Duplicate Run ID",IF(COUNTIF('Test Cases'!$A$6:$A$205,B32)&lt;&gt;1,"Check Test ID",IF(K32="Error","FAIL",IF(OR(I32="",J32=""),"Needs evidence / answer",IF(NOT(OR(K32="Answered",K32="Clarification",K32="Abstained")),"Choose outcome",IF(X32&lt;&gt;"Yes","Confirm claim inventory",IF(AND(K32="Answered",O32=0),"Needs claims",IF(Q32&gt;0,"Needs claim review",IF(OR(NOT(OR(L32="Yes",L32="No")),T32=""),"Needs response review",IF(OR(L32="No",M32&gt;0,N32&gt;0,AND(ISNUMBER(R32),R32&lt;Dashboard!$B$5)),"FAIL","PASS"))))))))))))</f>
        <v/>
      </c>
      <c r="V32" s="11">
        <f>IF(B32="","",IFERROR(VLOOKUP(B32,'Test Cases'!$A$6:$J$205,7,FALSE),"Unknown Test ID"))</f>
        <v/>
      </c>
      <c r="W32" s="11">
        <f>IF(B32="","",IFERROR(VLOOKUP(B32,'Test Cases'!$A$6:$J$205,8,FALSE),"Unknown Test ID"))</f>
        <v/>
      </c>
    </row>
    <row r="33" spans="3:23">
      <c r="C33" s="11">
        <f>IF(B33="","",IFERROR(VLOOKUP(B33,'Test Cases'!$A$6:$J$205,2,FALSE),"Unknown Test ID"))</f>
        <v/>
      </c>
      <c r="D33" s="11">
        <f>IF(B33="","",IFERROR(VLOOKUP(B33,'Test Cases'!$A$6:$J$205,5,FALSE),"Unknown Test ID"))</f>
        <v/>
      </c>
      <c r="M33" s="11">
        <f>IF(A33="","",COUNTIFS('Claim Review'!$A$6:$A$2005,A33,'Claim Review'!$C$6:$C$2005,"&lt;&gt;",'Claim Review'!$G$6:$G$2005,"Wrong citation")+COUNTIFS('Claim Review'!$A$6:$A$2005,A33,'Claim Review'!$C$6:$C$2005,"&lt;&gt;",'Claim Review'!$G$6:$G$2005,"Missing citation"))</f>
        <v/>
      </c>
      <c r="N33" s="11">
        <f>IF(A33="","",COUNTIFS('Claim Review'!$A$6:$A$2005,A33,'Claim Review'!$C$6:$C$2005,"&lt;&gt;",'Claim Review'!$H$6:$H$2005,"Yes"))</f>
        <v/>
      </c>
      <c r="O33" s="11">
        <f>IF(A33="","",COUNTIFS('Claim Review'!$A$6:$A$2005,A33,'Claim Review'!$C$6:$C$2005,"&lt;&gt;"))</f>
        <v/>
      </c>
      <c r="P33" s="11">
        <f>IF(A33="","",COUNTIFS('Claim Review'!$A$6:$A$2005,A33,'Claim Review'!$C$6:$C$2005,"&lt;&gt;",'Claim Review'!$F$6:$F$2005,"Supported"))</f>
        <v/>
      </c>
      <c r="Q33" s="11">
        <f>IF(A33="","",O33-COUNTIFS('Claim Review'!$A$6:$A$2005,A33,'Claim Review'!$C$6:$C$2005,"&lt;&gt;",'Claim Review'!$K$6:$K$2005,"Yes"))</f>
        <v/>
      </c>
      <c r="R33" s="12">
        <f>IF(AND(A33&lt;&gt;"",COUNTIF($A$6:$A$205,A33)=1,COUNTIF('Test Cases'!$A$6:$A$205,B33)=1,I33&lt;&gt;"",J33&lt;&gt;"",OR(K33="Answered",K33="Clarification",K33="Abstained"),X33="Yes",T33&lt;&gt;"",O33&gt;0,Q33=0),P33/MAX(1,O33),"")</f>
        <v/>
      </c>
      <c r="S33" s="11">
        <f>IF(A33="","",IF(AND(J33="",K33=""),"Pending",IF(COUNTIF($A$6:$A$205,A33)&lt;&gt;1,"Duplicate Run ID",IF(COUNTIF('Test Cases'!$A$6:$A$205,B33)&lt;&gt;1,"Check Test ID",IF(K33="Error","FAIL",IF(OR(I33="",J33=""),"Needs evidence / answer",IF(NOT(OR(K33="Answered",K33="Clarification",K33="Abstained")),"Choose outcome",IF(X33&lt;&gt;"Yes","Confirm claim inventory",IF(AND(K33="Answered",O33=0),"Needs claims",IF(Q33&gt;0,"Needs claim review",IF(OR(NOT(OR(L33="Yes",L33="No")),T33=""),"Needs response review",IF(OR(L33="No",M33&gt;0,N33&gt;0,AND(ISNUMBER(R33),R33&lt;Dashboard!$B$5)),"FAIL","PASS"))))))))))))</f>
        <v/>
      </c>
      <c r="V33" s="11">
        <f>IF(B33="","",IFERROR(VLOOKUP(B33,'Test Cases'!$A$6:$J$205,7,FALSE),"Unknown Test ID"))</f>
        <v/>
      </c>
      <c r="W33" s="11">
        <f>IF(B33="","",IFERROR(VLOOKUP(B33,'Test Cases'!$A$6:$J$205,8,FALSE),"Unknown Test ID"))</f>
        <v/>
      </c>
    </row>
    <row r="34" spans="3:23">
      <c r="C34" s="11">
        <f>IF(B34="","",IFERROR(VLOOKUP(B34,'Test Cases'!$A$6:$J$205,2,FALSE),"Unknown Test ID"))</f>
        <v/>
      </c>
      <c r="D34" s="11">
        <f>IF(B34="","",IFERROR(VLOOKUP(B34,'Test Cases'!$A$6:$J$205,5,FALSE),"Unknown Test ID"))</f>
        <v/>
      </c>
      <c r="M34" s="11">
        <f>IF(A34="","",COUNTIFS('Claim Review'!$A$6:$A$2005,A34,'Claim Review'!$C$6:$C$2005,"&lt;&gt;",'Claim Review'!$G$6:$G$2005,"Wrong citation")+COUNTIFS('Claim Review'!$A$6:$A$2005,A34,'Claim Review'!$C$6:$C$2005,"&lt;&gt;",'Claim Review'!$G$6:$G$2005,"Missing citation"))</f>
        <v/>
      </c>
      <c r="N34" s="11">
        <f>IF(A34="","",COUNTIFS('Claim Review'!$A$6:$A$2005,A34,'Claim Review'!$C$6:$C$2005,"&lt;&gt;",'Claim Review'!$H$6:$H$2005,"Yes"))</f>
        <v/>
      </c>
      <c r="O34" s="11">
        <f>IF(A34="","",COUNTIFS('Claim Review'!$A$6:$A$2005,A34,'Claim Review'!$C$6:$C$2005,"&lt;&gt;"))</f>
        <v/>
      </c>
      <c r="P34" s="11">
        <f>IF(A34="","",COUNTIFS('Claim Review'!$A$6:$A$2005,A34,'Claim Review'!$C$6:$C$2005,"&lt;&gt;",'Claim Review'!$F$6:$F$2005,"Supported"))</f>
        <v/>
      </c>
      <c r="Q34" s="11">
        <f>IF(A34="","",O34-COUNTIFS('Claim Review'!$A$6:$A$2005,A34,'Claim Review'!$C$6:$C$2005,"&lt;&gt;",'Claim Review'!$K$6:$K$2005,"Yes"))</f>
        <v/>
      </c>
      <c r="R34" s="12">
        <f>IF(AND(A34&lt;&gt;"",COUNTIF($A$6:$A$205,A34)=1,COUNTIF('Test Cases'!$A$6:$A$205,B34)=1,I34&lt;&gt;"",J34&lt;&gt;"",OR(K34="Answered",K34="Clarification",K34="Abstained"),X34="Yes",T34&lt;&gt;"",O34&gt;0,Q34=0),P34/MAX(1,O34),"")</f>
        <v/>
      </c>
      <c r="S34" s="11">
        <f>IF(A34="","",IF(AND(J34="",K34=""),"Pending",IF(COUNTIF($A$6:$A$205,A34)&lt;&gt;1,"Duplicate Run ID",IF(COUNTIF('Test Cases'!$A$6:$A$205,B34)&lt;&gt;1,"Check Test ID",IF(K34="Error","FAIL",IF(OR(I34="",J34=""),"Needs evidence / answer",IF(NOT(OR(K34="Answered",K34="Clarification",K34="Abstained")),"Choose outcome",IF(X34&lt;&gt;"Yes","Confirm claim inventory",IF(AND(K34="Answered",O34=0),"Needs claims",IF(Q34&gt;0,"Needs claim review",IF(OR(NOT(OR(L34="Yes",L34="No")),T34=""),"Needs response review",IF(OR(L34="No",M34&gt;0,N34&gt;0,AND(ISNUMBER(R34),R34&lt;Dashboard!$B$5)),"FAIL","PASS"))))))))))))</f>
        <v/>
      </c>
      <c r="V34" s="11">
        <f>IF(B34="","",IFERROR(VLOOKUP(B34,'Test Cases'!$A$6:$J$205,7,FALSE),"Unknown Test ID"))</f>
        <v/>
      </c>
      <c r="W34" s="11">
        <f>IF(B34="","",IFERROR(VLOOKUP(B34,'Test Cases'!$A$6:$J$205,8,FALSE),"Unknown Test ID"))</f>
        <v/>
      </c>
    </row>
    <row r="35" spans="3:23">
      <c r="C35" s="11">
        <f>IF(B35="","",IFERROR(VLOOKUP(B35,'Test Cases'!$A$6:$J$205,2,FALSE),"Unknown Test ID"))</f>
        <v/>
      </c>
      <c r="D35" s="11">
        <f>IF(B35="","",IFERROR(VLOOKUP(B35,'Test Cases'!$A$6:$J$205,5,FALSE),"Unknown Test ID"))</f>
        <v/>
      </c>
      <c r="M35" s="11">
        <f>IF(A35="","",COUNTIFS('Claim Review'!$A$6:$A$2005,A35,'Claim Review'!$C$6:$C$2005,"&lt;&gt;",'Claim Review'!$G$6:$G$2005,"Wrong citation")+COUNTIFS('Claim Review'!$A$6:$A$2005,A35,'Claim Review'!$C$6:$C$2005,"&lt;&gt;",'Claim Review'!$G$6:$G$2005,"Missing citation"))</f>
        <v/>
      </c>
      <c r="N35" s="11">
        <f>IF(A35="","",COUNTIFS('Claim Review'!$A$6:$A$2005,A35,'Claim Review'!$C$6:$C$2005,"&lt;&gt;",'Claim Review'!$H$6:$H$2005,"Yes"))</f>
        <v/>
      </c>
      <c r="O35" s="11">
        <f>IF(A35="","",COUNTIFS('Claim Review'!$A$6:$A$2005,A35,'Claim Review'!$C$6:$C$2005,"&lt;&gt;"))</f>
        <v/>
      </c>
      <c r="P35" s="11">
        <f>IF(A35="","",COUNTIFS('Claim Review'!$A$6:$A$2005,A35,'Claim Review'!$C$6:$C$2005,"&lt;&gt;",'Claim Review'!$F$6:$F$2005,"Supported"))</f>
        <v/>
      </c>
      <c r="Q35" s="11">
        <f>IF(A35="","",O35-COUNTIFS('Claim Review'!$A$6:$A$2005,A35,'Claim Review'!$C$6:$C$2005,"&lt;&gt;",'Claim Review'!$K$6:$K$2005,"Yes"))</f>
        <v/>
      </c>
      <c r="R35" s="12">
        <f>IF(AND(A35&lt;&gt;"",COUNTIF($A$6:$A$205,A35)=1,COUNTIF('Test Cases'!$A$6:$A$205,B35)=1,I35&lt;&gt;"",J35&lt;&gt;"",OR(K35="Answered",K35="Clarification",K35="Abstained"),X35="Yes",T35&lt;&gt;"",O35&gt;0,Q35=0),P35/MAX(1,O35),"")</f>
        <v/>
      </c>
      <c r="S35" s="11">
        <f>IF(A35="","",IF(AND(J35="",K35=""),"Pending",IF(COUNTIF($A$6:$A$205,A35)&lt;&gt;1,"Duplicate Run ID",IF(COUNTIF('Test Cases'!$A$6:$A$205,B35)&lt;&gt;1,"Check Test ID",IF(K35="Error","FAIL",IF(OR(I35="",J35=""),"Needs evidence / answer",IF(NOT(OR(K35="Answered",K35="Clarification",K35="Abstained")),"Choose outcome",IF(X35&lt;&gt;"Yes","Confirm claim inventory",IF(AND(K35="Answered",O35=0),"Needs claims",IF(Q35&gt;0,"Needs claim review",IF(OR(NOT(OR(L35="Yes",L35="No")),T35=""),"Needs response review",IF(OR(L35="No",M35&gt;0,N35&gt;0,AND(ISNUMBER(R35),R35&lt;Dashboard!$B$5)),"FAIL","PASS"))))))))))))</f>
        <v/>
      </c>
      <c r="V35" s="11">
        <f>IF(B35="","",IFERROR(VLOOKUP(B35,'Test Cases'!$A$6:$J$205,7,FALSE),"Unknown Test ID"))</f>
        <v/>
      </c>
      <c r="W35" s="11">
        <f>IF(B35="","",IFERROR(VLOOKUP(B35,'Test Cases'!$A$6:$J$205,8,FALSE),"Unknown Test ID"))</f>
        <v/>
      </c>
    </row>
    <row r="36" spans="3:23">
      <c r="C36" s="11">
        <f>IF(B36="","",IFERROR(VLOOKUP(B36,'Test Cases'!$A$6:$J$205,2,FALSE),"Unknown Test ID"))</f>
        <v/>
      </c>
      <c r="D36" s="11">
        <f>IF(B36="","",IFERROR(VLOOKUP(B36,'Test Cases'!$A$6:$J$205,5,FALSE),"Unknown Test ID"))</f>
        <v/>
      </c>
      <c r="M36" s="11">
        <f>IF(A36="","",COUNTIFS('Claim Review'!$A$6:$A$2005,A36,'Claim Review'!$C$6:$C$2005,"&lt;&gt;",'Claim Review'!$G$6:$G$2005,"Wrong citation")+COUNTIFS('Claim Review'!$A$6:$A$2005,A36,'Claim Review'!$C$6:$C$2005,"&lt;&gt;",'Claim Review'!$G$6:$G$2005,"Missing citation"))</f>
        <v/>
      </c>
      <c r="N36" s="11">
        <f>IF(A36="","",COUNTIFS('Claim Review'!$A$6:$A$2005,A36,'Claim Review'!$C$6:$C$2005,"&lt;&gt;",'Claim Review'!$H$6:$H$2005,"Yes"))</f>
        <v/>
      </c>
      <c r="O36" s="11">
        <f>IF(A36="","",COUNTIFS('Claim Review'!$A$6:$A$2005,A36,'Claim Review'!$C$6:$C$2005,"&lt;&gt;"))</f>
        <v/>
      </c>
      <c r="P36" s="11">
        <f>IF(A36="","",COUNTIFS('Claim Review'!$A$6:$A$2005,A36,'Claim Review'!$C$6:$C$2005,"&lt;&gt;",'Claim Review'!$F$6:$F$2005,"Supported"))</f>
        <v/>
      </c>
      <c r="Q36" s="11">
        <f>IF(A36="","",O36-COUNTIFS('Claim Review'!$A$6:$A$2005,A36,'Claim Review'!$C$6:$C$2005,"&lt;&gt;",'Claim Review'!$K$6:$K$2005,"Yes"))</f>
        <v/>
      </c>
      <c r="R36" s="12">
        <f>IF(AND(A36&lt;&gt;"",COUNTIF($A$6:$A$205,A36)=1,COUNTIF('Test Cases'!$A$6:$A$205,B36)=1,I36&lt;&gt;"",J36&lt;&gt;"",OR(K36="Answered",K36="Clarification",K36="Abstained"),X36="Yes",T36&lt;&gt;"",O36&gt;0,Q36=0),P36/MAX(1,O36),"")</f>
        <v/>
      </c>
      <c r="S36" s="11">
        <f>IF(A36="","",IF(AND(J36="",K36=""),"Pending",IF(COUNTIF($A$6:$A$205,A36)&lt;&gt;1,"Duplicate Run ID",IF(COUNTIF('Test Cases'!$A$6:$A$205,B36)&lt;&gt;1,"Check Test ID",IF(K36="Error","FAIL",IF(OR(I36="",J36=""),"Needs evidence / answer",IF(NOT(OR(K36="Answered",K36="Clarification",K36="Abstained")),"Choose outcome",IF(X36&lt;&gt;"Yes","Confirm claim inventory",IF(AND(K36="Answered",O36=0),"Needs claims",IF(Q36&gt;0,"Needs claim review",IF(OR(NOT(OR(L36="Yes",L36="No")),T36=""),"Needs response review",IF(OR(L36="No",M36&gt;0,N36&gt;0,AND(ISNUMBER(R36),R36&lt;Dashboard!$B$5)),"FAIL","PASS"))))))))))))</f>
        <v/>
      </c>
      <c r="V36" s="11">
        <f>IF(B36="","",IFERROR(VLOOKUP(B36,'Test Cases'!$A$6:$J$205,7,FALSE),"Unknown Test ID"))</f>
        <v/>
      </c>
      <c r="W36" s="11">
        <f>IF(B36="","",IFERROR(VLOOKUP(B36,'Test Cases'!$A$6:$J$205,8,FALSE),"Unknown Test ID"))</f>
        <v/>
      </c>
    </row>
    <row r="37" spans="3:23">
      <c r="C37" s="11">
        <f>IF(B37="","",IFERROR(VLOOKUP(B37,'Test Cases'!$A$6:$J$205,2,FALSE),"Unknown Test ID"))</f>
        <v/>
      </c>
      <c r="D37" s="11">
        <f>IF(B37="","",IFERROR(VLOOKUP(B37,'Test Cases'!$A$6:$J$205,5,FALSE),"Unknown Test ID"))</f>
        <v/>
      </c>
      <c r="M37" s="11">
        <f>IF(A37="","",COUNTIFS('Claim Review'!$A$6:$A$2005,A37,'Claim Review'!$C$6:$C$2005,"&lt;&gt;",'Claim Review'!$G$6:$G$2005,"Wrong citation")+COUNTIFS('Claim Review'!$A$6:$A$2005,A37,'Claim Review'!$C$6:$C$2005,"&lt;&gt;",'Claim Review'!$G$6:$G$2005,"Missing citation"))</f>
        <v/>
      </c>
      <c r="N37" s="11">
        <f>IF(A37="","",COUNTIFS('Claim Review'!$A$6:$A$2005,A37,'Claim Review'!$C$6:$C$2005,"&lt;&gt;",'Claim Review'!$H$6:$H$2005,"Yes"))</f>
        <v/>
      </c>
      <c r="O37" s="11">
        <f>IF(A37="","",COUNTIFS('Claim Review'!$A$6:$A$2005,A37,'Claim Review'!$C$6:$C$2005,"&lt;&gt;"))</f>
        <v/>
      </c>
      <c r="P37" s="11">
        <f>IF(A37="","",COUNTIFS('Claim Review'!$A$6:$A$2005,A37,'Claim Review'!$C$6:$C$2005,"&lt;&gt;",'Claim Review'!$F$6:$F$2005,"Supported"))</f>
        <v/>
      </c>
      <c r="Q37" s="11">
        <f>IF(A37="","",O37-COUNTIFS('Claim Review'!$A$6:$A$2005,A37,'Claim Review'!$C$6:$C$2005,"&lt;&gt;",'Claim Review'!$K$6:$K$2005,"Yes"))</f>
        <v/>
      </c>
      <c r="R37" s="12">
        <f>IF(AND(A37&lt;&gt;"",COUNTIF($A$6:$A$205,A37)=1,COUNTIF('Test Cases'!$A$6:$A$205,B37)=1,I37&lt;&gt;"",J37&lt;&gt;"",OR(K37="Answered",K37="Clarification",K37="Abstained"),X37="Yes",T37&lt;&gt;"",O37&gt;0,Q37=0),P37/MAX(1,O37),"")</f>
        <v/>
      </c>
      <c r="S37" s="11">
        <f>IF(A37="","",IF(AND(J37="",K37=""),"Pending",IF(COUNTIF($A$6:$A$205,A37)&lt;&gt;1,"Duplicate Run ID",IF(COUNTIF('Test Cases'!$A$6:$A$205,B37)&lt;&gt;1,"Check Test ID",IF(K37="Error","FAIL",IF(OR(I37="",J37=""),"Needs evidence / answer",IF(NOT(OR(K37="Answered",K37="Clarification",K37="Abstained")),"Choose outcome",IF(X37&lt;&gt;"Yes","Confirm claim inventory",IF(AND(K37="Answered",O37=0),"Needs claims",IF(Q37&gt;0,"Needs claim review",IF(OR(NOT(OR(L37="Yes",L37="No")),T37=""),"Needs response review",IF(OR(L37="No",M37&gt;0,N37&gt;0,AND(ISNUMBER(R37),R37&lt;Dashboard!$B$5)),"FAIL","PASS"))))))))))))</f>
        <v/>
      </c>
      <c r="V37" s="11">
        <f>IF(B37="","",IFERROR(VLOOKUP(B37,'Test Cases'!$A$6:$J$205,7,FALSE),"Unknown Test ID"))</f>
        <v/>
      </c>
      <c r="W37" s="11">
        <f>IF(B37="","",IFERROR(VLOOKUP(B37,'Test Cases'!$A$6:$J$205,8,FALSE),"Unknown Test ID"))</f>
        <v/>
      </c>
    </row>
    <row r="38" spans="3:23">
      <c r="C38" s="11">
        <f>IF(B38="","",IFERROR(VLOOKUP(B38,'Test Cases'!$A$6:$J$205,2,FALSE),"Unknown Test ID"))</f>
        <v/>
      </c>
      <c r="D38" s="11">
        <f>IF(B38="","",IFERROR(VLOOKUP(B38,'Test Cases'!$A$6:$J$205,5,FALSE),"Unknown Test ID"))</f>
        <v/>
      </c>
      <c r="M38" s="11">
        <f>IF(A38="","",COUNTIFS('Claim Review'!$A$6:$A$2005,A38,'Claim Review'!$C$6:$C$2005,"&lt;&gt;",'Claim Review'!$G$6:$G$2005,"Wrong citation")+COUNTIFS('Claim Review'!$A$6:$A$2005,A38,'Claim Review'!$C$6:$C$2005,"&lt;&gt;",'Claim Review'!$G$6:$G$2005,"Missing citation"))</f>
        <v/>
      </c>
      <c r="N38" s="11">
        <f>IF(A38="","",COUNTIFS('Claim Review'!$A$6:$A$2005,A38,'Claim Review'!$C$6:$C$2005,"&lt;&gt;",'Claim Review'!$H$6:$H$2005,"Yes"))</f>
        <v/>
      </c>
      <c r="O38" s="11">
        <f>IF(A38="","",COUNTIFS('Claim Review'!$A$6:$A$2005,A38,'Claim Review'!$C$6:$C$2005,"&lt;&gt;"))</f>
        <v/>
      </c>
      <c r="P38" s="11">
        <f>IF(A38="","",COUNTIFS('Claim Review'!$A$6:$A$2005,A38,'Claim Review'!$C$6:$C$2005,"&lt;&gt;",'Claim Review'!$F$6:$F$2005,"Supported"))</f>
        <v/>
      </c>
      <c r="Q38" s="11">
        <f>IF(A38="","",O38-COUNTIFS('Claim Review'!$A$6:$A$2005,A38,'Claim Review'!$C$6:$C$2005,"&lt;&gt;",'Claim Review'!$K$6:$K$2005,"Yes"))</f>
        <v/>
      </c>
      <c r="R38" s="12">
        <f>IF(AND(A38&lt;&gt;"",COUNTIF($A$6:$A$205,A38)=1,COUNTIF('Test Cases'!$A$6:$A$205,B38)=1,I38&lt;&gt;"",J38&lt;&gt;"",OR(K38="Answered",K38="Clarification",K38="Abstained"),X38="Yes",T38&lt;&gt;"",O38&gt;0,Q38=0),P38/MAX(1,O38),"")</f>
        <v/>
      </c>
      <c r="S38" s="11">
        <f>IF(A38="","",IF(AND(J38="",K38=""),"Pending",IF(COUNTIF($A$6:$A$205,A38)&lt;&gt;1,"Duplicate Run ID",IF(COUNTIF('Test Cases'!$A$6:$A$205,B38)&lt;&gt;1,"Check Test ID",IF(K38="Error","FAIL",IF(OR(I38="",J38=""),"Needs evidence / answer",IF(NOT(OR(K38="Answered",K38="Clarification",K38="Abstained")),"Choose outcome",IF(X38&lt;&gt;"Yes","Confirm claim inventory",IF(AND(K38="Answered",O38=0),"Needs claims",IF(Q38&gt;0,"Needs claim review",IF(OR(NOT(OR(L38="Yes",L38="No")),T38=""),"Needs response review",IF(OR(L38="No",M38&gt;0,N38&gt;0,AND(ISNUMBER(R38),R38&lt;Dashboard!$B$5)),"FAIL","PASS"))))))))))))</f>
        <v/>
      </c>
      <c r="V38" s="11">
        <f>IF(B38="","",IFERROR(VLOOKUP(B38,'Test Cases'!$A$6:$J$205,7,FALSE),"Unknown Test ID"))</f>
        <v/>
      </c>
      <c r="W38" s="11">
        <f>IF(B38="","",IFERROR(VLOOKUP(B38,'Test Cases'!$A$6:$J$205,8,FALSE),"Unknown Test ID"))</f>
        <v/>
      </c>
    </row>
    <row r="39" spans="3:23">
      <c r="C39" s="11">
        <f>IF(B39="","",IFERROR(VLOOKUP(B39,'Test Cases'!$A$6:$J$205,2,FALSE),"Unknown Test ID"))</f>
        <v/>
      </c>
      <c r="D39" s="11">
        <f>IF(B39="","",IFERROR(VLOOKUP(B39,'Test Cases'!$A$6:$J$205,5,FALSE),"Unknown Test ID"))</f>
        <v/>
      </c>
      <c r="M39" s="11">
        <f>IF(A39="","",COUNTIFS('Claim Review'!$A$6:$A$2005,A39,'Claim Review'!$C$6:$C$2005,"&lt;&gt;",'Claim Review'!$G$6:$G$2005,"Wrong citation")+COUNTIFS('Claim Review'!$A$6:$A$2005,A39,'Claim Review'!$C$6:$C$2005,"&lt;&gt;",'Claim Review'!$G$6:$G$2005,"Missing citation"))</f>
        <v/>
      </c>
      <c r="N39" s="11">
        <f>IF(A39="","",COUNTIFS('Claim Review'!$A$6:$A$2005,A39,'Claim Review'!$C$6:$C$2005,"&lt;&gt;",'Claim Review'!$H$6:$H$2005,"Yes"))</f>
        <v/>
      </c>
      <c r="O39" s="11">
        <f>IF(A39="","",COUNTIFS('Claim Review'!$A$6:$A$2005,A39,'Claim Review'!$C$6:$C$2005,"&lt;&gt;"))</f>
        <v/>
      </c>
      <c r="P39" s="11">
        <f>IF(A39="","",COUNTIFS('Claim Review'!$A$6:$A$2005,A39,'Claim Review'!$C$6:$C$2005,"&lt;&gt;",'Claim Review'!$F$6:$F$2005,"Supported"))</f>
        <v/>
      </c>
      <c r="Q39" s="11">
        <f>IF(A39="","",O39-COUNTIFS('Claim Review'!$A$6:$A$2005,A39,'Claim Review'!$C$6:$C$2005,"&lt;&gt;",'Claim Review'!$K$6:$K$2005,"Yes"))</f>
        <v/>
      </c>
      <c r="R39" s="12">
        <f>IF(AND(A39&lt;&gt;"",COUNTIF($A$6:$A$205,A39)=1,COUNTIF('Test Cases'!$A$6:$A$205,B39)=1,I39&lt;&gt;"",J39&lt;&gt;"",OR(K39="Answered",K39="Clarification",K39="Abstained"),X39="Yes",T39&lt;&gt;"",O39&gt;0,Q39=0),P39/MAX(1,O39),"")</f>
        <v/>
      </c>
      <c r="S39" s="11">
        <f>IF(A39="","",IF(AND(J39="",K39=""),"Pending",IF(COUNTIF($A$6:$A$205,A39)&lt;&gt;1,"Duplicate Run ID",IF(COUNTIF('Test Cases'!$A$6:$A$205,B39)&lt;&gt;1,"Check Test ID",IF(K39="Error","FAIL",IF(OR(I39="",J39=""),"Needs evidence / answer",IF(NOT(OR(K39="Answered",K39="Clarification",K39="Abstained")),"Choose outcome",IF(X39&lt;&gt;"Yes","Confirm claim inventory",IF(AND(K39="Answered",O39=0),"Needs claims",IF(Q39&gt;0,"Needs claim review",IF(OR(NOT(OR(L39="Yes",L39="No")),T39=""),"Needs response review",IF(OR(L39="No",M39&gt;0,N39&gt;0,AND(ISNUMBER(R39),R39&lt;Dashboard!$B$5)),"FAIL","PASS"))))))))))))</f>
        <v/>
      </c>
      <c r="V39" s="11">
        <f>IF(B39="","",IFERROR(VLOOKUP(B39,'Test Cases'!$A$6:$J$205,7,FALSE),"Unknown Test ID"))</f>
        <v/>
      </c>
      <c r="W39" s="11">
        <f>IF(B39="","",IFERROR(VLOOKUP(B39,'Test Cases'!$A$6:$J$205,8,FALSE),"Unknown Test ID"))</f>
        <v/>
      </c>
    </row>
    <row r="40" spans="3:23">
      <c r="C40" s="11">
        <f>IF(B40="","",IFERROR(VLOOKUP(B40,'Test Cases'!$A$6:$J$205,2,FALSE),"Unknown Test ID"))</f>
        <v/>
      </c>
      <c r="D40" s="11">
        <f>IF(B40="","",IFERROR(VLOOKUP(B40,'Test Cases'!$A$6:$J$205,5,FALSE),"Unknown Test ID"))</f>
        <v/>
      </c>
      <c r="M40" s="11">
        <f>IF(A40="","",COUNTIFS('Claim Review'!$A$6:$A$2005,A40,'Claim Review'!$C$6:$C$2005,"&lt;&gt;",'Claim Review'!$G$6:$G$2005,"Wrong citation")+COUNTIFS('Claim Review'!$A$6:$A$2005,A40,'Claim Review'!$C$6:$C$2005,"&lt;&gt;",'Claim Review'!$G$6:$G$2005,"Missing citation"))</f>
        <v/>
      </c>
      <c r="N40" s="11">
        <f>IF(A40="","",COUNTIFS('Claim Review'!$A$6:$A$2005,A40,'Claim Review'!$C$6:$C$2005,"&lt;&gt;",'Claim Review'!$H$6:$H$2005,"Yes"))</f>
        <v/>
      </c>
      <c r="O40" s="11">
        <f>IF(A40="","",COUNTIFS('Claim Review'!$A$6:$A$2005,A40,'Claim Review'!$C$6:$C$2005,"&lt;&gt;"))</f>
        <v/>
      </c>
      <c r="P40" s="11">
        <f>IF(A40="","",COUNTIFS('Claim Review'!$A$6:$A$2005,A40,'Claim Review'!$C$6:$C$2005,"&lt;&gt;",'Claim Review'!$F$6:$F$2005,"Supported"))</f>
        <v/>
      </c>
      <c r="Q40" s="11">
        <f>IF(A40="","",O40-COUNTIFS('Claim Review'!$A$6:$A$2005,A40,'Claim Review'!$C$6:$C$2005,"&lt;&gt;",'Claim Review'!$K$6:$K$2005,"Yes"))</f>
        <v/>
      </c>
      <c r="R40" s="12">
        <f>IF(AND(A40&lt;&gt;"",COUNTIF($A$6:$A$205,A40)=1,COUNTIF('Test Cases'!$A$6:$A$205,B40)=1,I40&lt;&gt;"",J40&lt;&gt;"",OR(K40="Answered",K40="Clarification",K40="Abstained"),X40="Yes",T40&lt;&gt;"",O40&gt;0,Q40=0),P40/MAX(1,O40),"")</f>
        <v/>
      </c>
      <c r="S40" s="11">
        <f>IF(A40="","",IF(AND(J40="",K40=""),"Pending",IF(COUNTIF($A$6:$A$205,A40)&lt;&gt;1,"Duplicate Run ID",IF(COUNTIF('Test Cases'!$A$6:$A$205,B40)&lt;&gt;1,"Check Test ID",IF(K40="Error","FAIL",IF(OR(I40="",J40=""),"Needs evidence / answer",IF(NOT(OR(K40="Answered",K40="Clarification",K40="Abstained")),"Choose outcome",IF(X40&lt;&gt;"Yes","Confirm claim inventory",IF(AND(K40="Answered",O40=0),"Needs claims",IF(Q40&gt;0,"Needs claim review",IF(OR(NOT(OR(L40="Yes",L40="No")),T40=""),"Needs response review",IF(OR(L40="No",M40&gt;0,N40&gt;0,AND(ISNUMBER(R40),R40&lt;Dashboard!$B$5)),"FAIL","PASS"))))))))))))</f>
        <v/>
      </c>
      <c r="V40" s="11">
        <f>IF(B40="","",IFERROR(VLOOKUP(B40,'Test Cases'!$A$6:$J$205,7,FALSE),"Unknown Test ID"))</f>
        <v/>
      </c>
      <c r="W40" s="11">
        <f>IF(B40="","",IFERROR(VLOOKUP(B40,'Test Cases'!$A$6:$J$205,8,FALSE),"Unknown Test ID"))</f>
        <v/>
      </c>
    </row>
    <row r="41" spans="3:23">
      <c r="C41" s="11">
        <f>IF(B41="","",IFERROR(VLOOKUP(B41,'Test Cases'!$A$6:$J$205,2,FALSE),"Unknown Test ID"))</f>
        <v/>
      </c>
      <c r="D41" s="11">
        <f>IF(B41="","",IFERROR(VLOOKUP(B41,'Test Cases'!$A$6:$J$205,5,FALSE),"Unknown Test ID"))</f>
        <v/>
      </c>
      <c r="M41" s="11">
        <f>IF(A41="","",COUNTIFS('Claim Review'!$A$6:$A$2005,A41,'Claim Review'!$C$6:$C$2005,"&lt;&gt;",'Claim Review'!$G$6:$G$2005,"Wrong citation")+COUNTIFS('Claim Review'!$A$6:$A$2005,A41,'Claim Review'!$C$6:$C$2005,"&lt;&gt;",'Claim Review'!$G$6:$G$2005,"Missing citation"))</f>
        <v/>
      </c>
      <c r="N41" s="11">
        <f>IF(A41="","",COUNTIFS('Claim Review'!$A$6:$A$2005,A41,'Claim Review'!$C$6:$C$2005,"&lt;&gt;",'Claim Review'!$H$6:$H$2005,"Yes"))</f>
        <v/>
      </c>
      <c r="O41" s="11">
        <f>IF(A41="","",COUNTIFS('Claim Review'!$A$6:$A$2005,A41,'Claim Review'!$C$6:$C$2005,"&lt;&gt;"))</f>
        <v/>
      </c>
      <c r="P41" s="11">
        <f>IF(A41="","",COUNTIFS('Claim Review'!$A$6:$A$2005,A41,'Claim Review'!$C$6:$C$2005,"&lt;&gt;",'Claim Review'!$F$6:$F$2005,"Supported"))</f>
        <v/>
      </c>
      <c r="Q41" s="11">
        <f>IF(A41="","",O41-COUNTIFS('Claim Review'!$A$6:$A$2005,A41,'Claim Review'!$C$6:$C$2005,"&lt;&gt;",'Claim Review'!$K$6:$K$2005,"Yes"))</f>
        <v/>
      </c>
      <c r="R41" s="12">
        <f>IF(AND(A41&lt;&gt;"",COUNTIF($A$6:$A$205,A41)=1,COUNTIF('Test Cases'!$A$6:$A$205,B41)=1,I41&lt;&gt;"",J41&lt;&gt;"",OR(K41="Answered",K41="Clarification",K41="Abstained"),X41="Yes",T41&lt;&gt;"",O41&gt;0,Q41=0),P41/MAX(1,O41),"")</f>
        <v/>
      </c>
      <c r="S41" s="11">
        <f>IF(A41="","",IF(AND(J41="",K41=""),"Pending",IF(COUNTIF($A$6:$A$205,A41)&lt;&gt;1,"Duplicate Run ID",IF(COUNTIF('Test Cases'!$A$6:$A$205,B41)&lt;&gt;1,"Check Test ID",IF(K41="Error","FAIL",IF(OR(I41="",J41=""),"Needs evidence / answer",IF(NOT(OR(K41="Answered",K41="Clarification",K41="Abstained")),"Choose outcome",IF(X41&lt;&gt;"Yes","Confirm claim inventory",IF(AND(K41="Answered",O41=0),"Needs claims",IF(Q41&gt;0,"Needs claim review",IF(OR(NOT(OR(L41="Yes",L41="No")),T41=""),"Needs response review",IF(OR(L41="No",M41&gt;0,N41&gt;0,AND(ISNUMBER(R41),R41&lt;Dashboard!$B$5)),"FAIL","PASS"))))))))))))</f>
        <v/>
      </c>
      <c r="V41" s="11">
        <f>IF(B41="","",IFERROR(VLOOKUP(B41,'Test Cases'!$A$6:$J$205,7,FALSE),"Unknown Test ID"))</f>
        <v/>
      </c>
      <c r="W41" s="11">
        <f>IF(B41="","",IFERROR(VLOOKUP(B41,'Test Cases'!$A$6:$J$205,8,FALSE),"Unknown Test ID"))</f>
        <v/>
      </c>
    </row>
    <row r="42" spans="3:23">
      <c r="C42" s="11">
        <f>IF(B42="","",IFERROR(VLOOKUP(B42,'Test Cases'!$A$6:$J$205,2,FALSE),"Unknown Test ID"))</f>
        <v/>
      </c>
      <c r="D42" s="11">
        <f>IF(B42="","",IFERROR(VLOOKUP(B42,'Test Cases'!$A$6:$J$205,5,FALSE),"Unknown Test ID"))</f>
        <v/>
      </c>
      <c r="M42" s="11">
        <f>IF(A42="","",COUNTIFS('Claim Review'!$A$6:$A$2005,A42,'Claim Review'!$C$6:$C$2005,"&lt;&gt;",'Claim Review'!$G$6:$G$2005,"Wrong citation")+COUNTIFS('Claim Review'!$A$6:$A$2005,A42,'Claim Review'!$C$6:$C$2005,"&lt;&gt;",'Claim Review'!$G$6:$G$2005,"Missing citation"))</f>
        <v/>
      </c>
      <c r="N42" s="11">
        <f>IF(A42="","",COUNTIFS('Claim Review'!$A$6:$A$2005,A42,'Claim Review'!$C$6:$C$2005,"&lt;&gt;",'Claim Review'!$H$6:$H$2005,"Yes"))</f>
        <v/>
      </c>
      <c r="O42" s="11">
        <f>IF(A42="","",COUNTIFS('Claim Review'!$A$6:$A$2005,A42,'Claim Review'!$C$6:$C$2005,"&lt;&gt;"))</f>
        <v/>
      </c>
      <c r="P42" s="11">
        <f>IF(A42="","",COUNTIFS('Claim Review'!$A$6:$A$2005,A42,'Claim Review'!$C$6:$C$2005,"&lt;&gt;",'Claim Review'!$F$6:$F$2005,"Supported"))</f>
        <v/>
      </c>
      <c r="Q42" s="11">
        <f>IF(A42="","",O42-COUNTIFS('Claim Review'!$A$6:$A$2005,A42,'Claim Review'!$C$6:$C$2005,"&lt;&gt;",'Claim Review'!$K$6:$K$2005,"Yes"))</f>
        <v/>
      </c>
      <c r="R42" s="12">
        <f>IF(AND(A42&lt;&gt;"",COUNTIF($A$6:$A$205,A42)=1,COUNTIF('Test Cases'!$A$6:$A$205,B42)=1,I42&lt;&gt;"",J42&lt;&gt;"",OR(K42="Answered",K42="Clarification",K42="Abstained"),X42="Yes",T42&lt;&gt;"",O42&gt;0,Q42=0),P42/MAX(1,O42),"")</f>
        <v/>
      </c>
      <c r="S42" s="11">
        <f>IF(A42="","",IF(AND(J42="",K42=""),"Pending",IF(COUNTIF($A$6:$A$205,A42)&lt;&gt;1,"Duplicate Run ID",IF(COUNTIF('Test Cases'!$A$6:$A$205,B42)&lt;&gt;1,"Check Test ID",IF(K42="Error","FAIL",IF(OR(I42="",J42=""),"Needs evidence / answer",IF(NOT(OR(K42="Answered",K42="Clarification",K42="Abstained")),"Choose outcome",IF(X42&lt;&gt;"Yes","Confirm claim inventory",IF(AND(K42="Answered",O42=0),"Needs claims",IF(Q42&gt;0,"Needs claim review",IF(OR(NOT(OR(L42="Yes",L42="No")),T42=""),"Needs response review",IF(OR(L42="No",M42&gt;0,N42&gt;0,AND(ISNUMBER(R42),R42&lt;Dashboard!$B$5)),"FAIL","PASS"))))))))))))</f>
        <v/>
      </c>
      <c r="V42" s="11">
        <f>IF(B42="","",IFERROR(VLOOKUP(B42,'Test Cases'!$A$6:$J$205,7,FALSE),"Unknown Test ID"))</f>
        <v/>
      </c>
      <c r="W42" s="11">
        <f>IF(B42="","",IFERROR(VLOOKUP(B42,'Test Cases'!$A$6:$J$205,8,FALSE),"Unknown Test ID"))</f>
        <v/>
      </c>
    </row>
    <row r="43" spans="3:23">
      <c r="C43" s="11">
        <f>IF(B43="","",IFERROR(VLOOKUP(B43,'Test Cases'!$A$6:$J$205,2,FALSE),"Unknown Test ID"))</f>
        <v/>
      </c>
      <c r="D43" s="11">
        <f>IF(B43="","",IFERROR(VLOOKUP(B43,'Test Cases'!$A$6:$J$205,5,FALSE),"Unknown Test ID"))</f>
        <v/>
      </c>
      <c r="M43" s="11">
        <f>IF(A43="","",COUNTIFS('Claim Review'!$A$6:$A$2005,A43,'Claim Review'!$C$6:$C$2005,"&lt;&gt;",'Claim Review'!$G$6:$G$2005,"Wrong citation")+COUNTIFS('Claim Review'!$A$6:$A$2005,A43,'Claim Review'!$C$6:$C$2005,"&lt;&gt;",'Claim Review'!$G$6:$G$2005,"Missing citation"))</f>
        <v/>
      </c>
      <c r="N43" s="11">
        <f>IF(A43="","",COUNTIFS('Claim Review'!$A$6:$A$2005,A43,'Claim Review'!$C$6:$C$2005,"&lt;&gt;",'Claim Review'!$H$6:$H$2005,"Yes"))</f>
        <v/>
      </c>
      <c r="O43" s="11">
        <f>IF(A43="","",COUNTIFS('Claim Review'!$A$6:$A$2005,A43,'Claim Review'!$C$6:$C$2005,"&lt;&gt;"))</f>
        <v/>
      </c>
      <c r="P43" s="11">
        <f>IF(A43="","",COUNTIFS('Claim Review'!$A$6:$A$2005,A43,'Claim Review'!$C$6:$C$2005,"&lt;&gt;",'Claim Review'!$F$6:$F$2005,"Supported"))</f>
        <v/>
      </c>
      <c r="Q43" s="11">
        <f>IF(A43="","",O43-COUNTIFS('Claim Review'!$A$6:$A$2005,A43,'Claim Review'!$C$6:$C$2005,"&lt;&gt;",'Claim Review'!$K$6:$K$2005,"Yes"))</f>
        <v/>
      </c>
      <c r="R43" s="12">
        <f>IF(AND(A43&lt;&gt;"",COUNTIF($A$6:$A$205,A43)=1,COUNTIF('Test Cases'!$A$6:$A$205,B43)=1,I43&lt;&gt;"",J43&lt;&gt;"",OR(K43="Answered",K43="Clarification",K43="Abstained"),X43="Yes",T43&lt;&gt;"",O43&gt;0,Q43=0),P43/MAX(1,O43),"")</f>
        <v/>
      </c>
      <c r="S43" s="11">
        <f>IF(A43="","",IF(AND(J43="",K43=""),"Pending",IF(COUNTIF($A$6:$A$205,A43)&lt;&gt;1,"Duplicate Run ID",IF(COUNTIF('Test Cases'!$A$6:$A$205,B43)&lt;&gt;1,"Check Test ID",IF(K43="Error","FAIL",IF(OR(I43="",J43=""),"Needs evidence / answer",IF(NOT(OR(K43="Answered",K43="Clarification",K43="Abstained")),"Choose outcome",IF(X43&lt;&gt;"Yes","Confirm claim inventory",IF(AND(K43="Answered",O43=0),"Needs claims",IF(Q43&gt;0,"Needs claim review",IF(OR(NOT(OR(L43="Yes",L43="No")),T43=""),"Needs response review",IF(OR(L43="No",M43&gt;0,N43&gt;0,AND(ISNUMBER(R43),R43&lt;Dashboard!$B$5)),"FAIL","PASS"))))))))))))</f>
        <v/>
      </c>
      <c r="V43" s="11">
        <f>IF(B43="","",IFERROR(VLOOKUP(B43,'Test Cases'!$A$6:$J$205,7,FALSE),"Unknown Test ID"))</f>
        <v/>
      </c>
      <c r="W43" s="11">
        <f>IF(B43="","",IFERROR(VLOOKUP(B43,'Test Cases'!$A$6:$J$205,8,FALSE),"Unknown Test ID"))</f>
        <v/>
      </c>
    </row>
    <row r="44" spans="3:23">
      <c r="C44" s="11">
        <f>IF(B44="","",IFERROR(VLOOKUP(B44,'Test Cases'!$A$6:$J$205,2,FALSE),"Unknown Test ID"))</f>
        <v/>
      </c>
      <c r="D44" s="11">
        <f>IF(B44="","",IFERROR(VLOOKUP(B44,'Test Cases'!$A$6:$J$205,5,FALSE),"Unknown Test ID"))</f>
        <v/>
      </c>
      <c r="M44" s="11">
        <f>IF(A44="","",COUNTIFS('Claim Review'!$A$6:$A$2005,A44,'Claim Review'!$C$6:$C$2005,"&lt;&gt;",'Claim Review'!$G$6:$G$2005,"Wrong citation")+COUNTIFS('Claim Review'!$A$6:$A$2005,A44,'Claim Review'!$C$6:$C$2005,"&lt;&gt;",'Claim Review'!$G$6:$G$2005,"Missing citation"))</f>
        <v/>
      </c>
      <c r="N44" s="11">
        <f>IF(A44="","",COUNTIFS('Claim Review'!$A$6:$A$2005,A44,'Claim Review'!$C$6:$C$2005,"&lt;&gt;",'Claim Review'!$H$6:$H$2005,"Yes"))</f>
        <v/>
      </c>
      <c r="O44" s="11">
        <f>IF(A44="","",COUNTIFS('Claim Review'!$A$6:$A$2005,A44,'Claim Review'!$C$6:$C$2005,"&lt;&gt;"))</f>
        <v/>
      </c>
      <c r="P44" s="11">
        <f>IF(A44="","",COUNTIFS('Claim Review'!$A$6:$A$2005,A44,'Claim Review'!$C$6:$C$2005,"&lt;&gt;",'Claim Review'!$F$6:$F$2005,"Supported"))</f>
        <v/>
      </c>
      <c r="Q44" s="11">
        <f>IF(A44="","",O44-COUNTIFS('Claim Review'!$A$6:$A$2005,A44,'Claim Review'!$C$6:$C$2005,"&lt;&gt;",'Claim Review'!$K$6:$K$2005,"Yes"))</f>
        <v/>
      </c>
      <c r="R44" s="12">
        <f>IF(AND(A44&lt;&gt;"",COUNTIF($A$6:$A$205,A44)=1,COUNTIF('Test Cases'!$A$6:$A$205,B44)=1,I44&lt;&gt;"",J44&lt;&gt;"",OR(K44="Answered",K44="Clarification",K44="Abstained"),X44="Yes",T44&lt;&gt;"",O44&gt;0,Q44=0),P44/MAX(1,O44),"")</f>
        <v/>
      </c>
      <c r="S44" s="11">
        <f>IF(A44="","",IF(AND(J44="",K44=""),"Pending",IF(COUNTIF($A$6:$A$205,A44)&lt;&gt;1,"Duplicate Run ID",IF(COUNTIF('Test Cases'!$A$6:$A$205,B44)&lt;&gt;1,"Check Test ID",IF(K44="Error","FAIL",IF(OR(I44="",J44=""),"Needs evidence / answer",IF(NOT(OR(K44="Answered",K44="Clarification",K44="Abstained")),"Choose outcome",IF(X44&lt;&gt;"Yes","Confirm claim inventory",IF(AND(K44="Answered",O44=0),"Needs claims",IF(Q44&gt;0,"Needs claim review",IF(OR(NOT(OR(L44="Yes",L44="No")),T44=""),"Needs response review",IF(OR(L44="No",M44&gt;0,N44&gt;0,AND(ISNUMBER(R44),R44&lt;Dashboard!$B$5)),"FAIL","PASS"))))))))))))</f>
        <v/>
      </c>
      <c r="V44" s="11">
        <f>IF(B44="","",IFERROR(VLOOKUP(B44,'Test Cases'!$A$6:$J$205,7,FALSE),"Unknown Test ID"))</f>
        <v/>
      </c>
      <c r="W44" s="11">
        <f>IF(B44="","",IFERROR(VLOOKUP(B44,'Test Cases'!$A$6:$J$205,8,FALSE),"Unknown Test ID"))</f>
        <v/>
      </c>
    </row>
    <row r="45" spans="3:23">
      <c r="C45" s="11">
        <f>IF(B45="","",IFERROR(VLOOKUP(B45,'Test Cases'!$A$6:$J$205,2,FALSE),"Unknown Test ID"))</f>
        <v/>
      </c>
      <c r="D45" s="11">
        <f>IF(B45="","",IFERROR(VLOOKUP(B45,'Test Cases'!$A$6:$J$205,5,FALSE),"Unknown Test ID"))</f>
        <v/>
      </c>
      <c r="M45" s="11">
        <f>IF(A45="","",COUNTIFS('Claim Review'!$A$6:$A$2005,A45,'Claim Review'!$C$6:$C$2005,"&lt;&gt;",'Claim Review'!$G$6:$G$2005,"Wrong citation")+COUNTIFS('Claim Review'!$A$6:$A$2005,A45,'Claim Review'!$C$6:$C$2005,"&lt;&gt;",'Claim Review'!$G$6:$G$2005,"Missing citation"))</f>
        <v/>
      </c>
      <c r="N45" s="11">
        <f>IF(A45="","",COUNTIFS('Claim Review'!$A$6:$A$2005,A45,'Claim Review'!$C$6:$C$2005,"&lt;&gt;",'Claim Review'!$H$6:$H$2005,"Yes"))</f>
        <v/>
      </c>
      <c r="O45" s="11">
        <f>IF(A45="","",COUNTIFS('Claim Review'!$A$6:$A$2005,A45,'Claim Review'!$C$6:$C$2005,"&lt;&gt;"))</f>
        <v/>
      </c>
      <c r="P45" s="11">
        <f>IF(A45="","",COUNTIFS('Claim Review'!$A$6:$A$2005,A45,'Claim Review'!$C$6:$C$2005,"&lt;&gt;",'Claim Review'!$F$6:$F$2005,"Supported"))</f>
        <v/>
      </c>
      <c r="Q45" s="11">
        <f>IF(A45="","",O45-COUNTIFS('Claim Review'!$A$6:$A$2005,A45,'Claim Review'!$C$6:$C$2005,"&lt;&gt;",'Claim Review'!$K$6:$K$2005,"Yes"))</f>
        <v/>
      </c>
      <c r="R45" s="12">
        <f>IF(AND(A45&lt;&gt;"",COUNTIF($A$6:$A$205,A45)=1,COUNTIF('Test Cases'!$A$6:$A$205,B45)=1,I45&lt;&gt;"",J45&lt;&gt;"",OR(K45="Answered",K45="Clarification",K45="Abstained"),X45="Yes",T45&lt;&gt;"",O45&gt;0,Q45=0),P45/MAX(1,O45),"")</f>
        <v/>
      </c>
      <c r="S45" s="11">
        <f>IF(A45="","",IF(AND(J45="",K45=""),"Pending",IF(COUNTIF($A$6:$A$205,A45)&lt;&gt;1,"Duplicate Run ID",IF(COUNTIF('Test Cases'!$A$6:$A$205,B45)&lt;&gt;1,"Check Test ID",IF(K45="Error","FAIL",IF(OR(I45="",J45=""),"Needs evidence / answer",IF(NOT(OR(K45="Answered",K45="Clarification",K45="Abstained")),"Choose outcome",IF(X45&lt;&gt;"Yes","Confirm claim inventory",IF(AND(K45="Answered",O45=0),"Needs claims",IF(Q45&gt;0,"Needs claim review",IF(OR(NOT(OR(L45="Yes",L45="No")),T45=""),"Needs response review",IF(OR(L45="No",M45&gt;0,N45&gt;0,AND(ISNUMBER(R45),R45&lt;Dashboard!$B$5)),"FAIL","PASS"))))))))))))</f>
        <v/>
      </c>
      <c r="V45" s="11">
        <f>IF(B45="","",IFERROR(VLOOKUP(B45,'Test Cases'!$A$6:$J$205,7,FALSE),"Unknown Test ID"))</f>
        <v/>
      </c>
      <c r="W45" s="11">
        <f>IF(B45="","",IFERROR(VLOOKUP(B45,'Test Cases'!$A$6:$J$205,8,FALSE),"Unknown Test ID"))</f>
        <v/>
      </c>
    </row>
    <row r="46" spans="3:23">
      <c r="C46" s="11">
        <f>IF(B46="","",IFERROR(VLOOKUP(B46,'Test Cases'!$A$6:$J$205,2,FALSE),"Unknown Test ID"))</f>
        <v/>
      </c>
      <c r="D46" s="11">
        <f>IF(B46="","",IFERROR(VLOOKUP(B46,'Test Cases'!$A$6:$J$205,5,FALSE),"Unknown Test ID"))</f>
        <v/>
      </c>
      <c r="M46" s="11">
        <f>IF(A46="","",COUNTIFS('Claim Review'!$A$6:$A$2005,A46,'Claim Review'!$C$6:$C$2005,"&lt;&gt;",'Claim Review'!$G$6:$G$2005,"Wrong citation")+COUNTIFS('Claim Review'!$A$6:$A$2005,A46,'Claim Review'!$C$6:$C$2005,"&lt;&gt;",'Claim Review'!$G$6:$G$2005,"Missing citation"))</f>
        <v/>
      </c>
      <c r="N46" s="11">
        <f>IF(A46="","",COUNTIFS('Claim Review'!$A$6:$A$2005,A46,'Claim Review'!$C$6:$C$2005,"&lt;&gt;",'Claim Review'!$H$6:$H$2005,"Yes"))</f>
        <v/>
      </c>
      <c r="O46" s="11">
        <f>IF(A46="","",COUNTIFS('Claim Review'!$A$6:$A$2005,A46,'Claim Review'!$C$6:$C$2005,"&lt;&gt;"))</f>
        <v/>
      </c>
      <c r="P46" s="11">
        <f>IF(A46="","",COUNTIFS('Claim Review'!$A$6:$A$2005,A46,'Claim Review'!$C$6:$C$2005,"&lt;&gt;",'Claim Review'!$F$6:$F$2005,"Supported"))</f>
        <v/>
      </c>
      <c r="Q46" s="11">
        <f>IF(A46="","",O46-COUNTIFS('Claim Review'!$A$6:$A$2005,A46,'Claim Review'!$C$6:$C$2005,"&lt;&gt;",'Claim Review'!$K$6:$K$2005,"Yes"))</f>
        <v/>
      </c>
      <c r="R46" s="12">
        <f>IF(AND(A46&lt;&gt;"",COUNTIF($A$6:$A$205,A46)=1,COUNTIF('Test Cases'!$A$6:$A$205,B46)=1,I46&lt;&gt;"",J46&lt;&gt;"",OR(K46="Answered",K46="Clarification",K46="Abstained"),X46="Yes",T46&lt;&gt;"",O46&gt;0,Q46=0),P46/MAX(1,O46),"")</f>
        <v/>
      </c>
      <c r="S46" s="11">
        <f>IF(A46="","",IF(AND(J46="",K46=""),"Pending",IF(COUNTIF($A$6:$A$205,A46)&lt;&gt;1,"Duplicate Run ID",IF(COUNTIF('Test Cases'!$A$6:$A$205,B46)&lt;&gt;1,"Check Test ID",IF(K46="Error","FAIL",IF(OR(I46="",J46=""),"Needs evidence / answer",IF(NOT(OR(K46="Answered",K46="Clarification",K46="Abstained")),"Choose outcome",IF(X46&lt;&gt;"Yes","Confirm claim inventory",IF(AND(K46="Answered",O46=0),"Needs claims",IF(Q46&gt;0,"Needs claim review",IF(OR(NOT(OR(L46="Yes",L46="No")),T46=""),"Needs response review",IF(OR(L46="No",M46&gt;0,N46&gt;0,AND(ISNUMBER(R46),R46&lt;Dashboard!$B$5)),"FAIL","PASS"))))))))))))</f>
        <v/>
      </c>
      <c r="V46" s="11">
        <f>IF(B46="","",IFERROR(VLOOKUP(B46,'Test Cases'!$A$6:$J$205,7,FALSE),"Unknown Test ID"))</f>
        <v/>
      </c>
      <c r="W46" s="11">
        <f>IF(B46="","",IFERROR(VLOOKUP(B46,'Test Cases'!$A$6:$J$205,8,FALSE),"Unknown Test ID"))</f>
        <v/>
      </c>
    </row>
    <row r="47" spans="3:23">
      <c r="C47" s="11">
        <f>IF(B47="","",IFERROR(VLOOKUP(B47,'Test Cases'!$A$6:$J$205,2,FALSE),"Unknown Test ID"))</f>
        <v/>
      </c>
      <c r="D47" s="11">
        <f>IF(B47="","",IFERROR(VLOOKUP(B47,'Test Cases'!$A$6:$J$205,5,FALSE),"Unknown Test ID"))</f>
        <v/>
      </c>
      <c r="M47" s="11">
        <f>IF(A47="","",COUNTIFS('Claim Review'!$A$6:$A$2005,A47,'Claim Review'!$C$6:$C$2005,"&lt;&gt;",'Claim Review'!$G$6:$G$2005,"Wrong citation")+COUNTIFS('Claim Review'!$A$6:$A$2005,A47,'Claim Review'!$C$6:$C$2005,"&lt;&gt;",'Claim Review'!$G$6:$G$2005,"Missing citation"))</f>
        <v/>
      </c>
      <c r="N47" s="11">
        <f>IF(A47="","",COUNTIFS('Claim Review'!$A$6:$A$2005,A47,'Claim Review'!$C$6:$C$2005,"&lt;&gt;",'Claim Review'!$H$6:$H$2005,"Yes"))</f>
        <v/>
      </c>
      <c r="O47" s="11">
        <f>IF(A47="","",COUNTIFS('Claim Review'!$A$6:$A$2005,A47,'Claim Review'!$C$6:$C$2005,"&lt;&gt;"))</f>
        <v/>
      </c>
      <c r="P47" s="11">
        <f>IF(A47="","",COUNTIFS('Claim Review'!$A$6:$A$2005,A47,'Claim Review'!$C$6:$C$2005,"&lt;&gt;",'Claim Review'!$F$6:$F$2005,"Supported"))</f>
        <v/>
      </c>
      <c r="Q47" s="11">
        <f>IF(A47="","",O47-COUNTIFS('Claim Review'!$A$6:$A$2005,A47,'Claim Review'!$C$6:$C$2005,"&lt;&gt;",'Claim Review'!$K$6:$K$2005,"Yes"))</f>
        <v/>
      </c>
      <c r="R47" s="12">
        <f>IF(AND(A47&lt;&gt;"",COUNTIF($A$6:$A$205,A47)=1,COUNTIF('Test Cases'!$A$6:$A$205,B47)=1,I47&lt;&gt;"",J47&lt;&gt;"",OR(K47="Answered",K47="Clarification",K47="Abstained"),X47="Yes",T47&lt;&gt;"",O47&gt;0,Q47=0),P47/MAX(1,O47),"")</f>
        <v/>
      </c>
      <c r="S47" s="11">
        <f>IF(A47="","",IF(AND(J47="",K47=""),"Pending",IF(COUNTIF($A$6:$A$205,A47)&lt;&gt;1,"Duplicate Run ID",IF(COUNTIF('Test Cases'!$A$6:$A$205,B47)&lt;&gt;1,"Check Test ID",IF(K47="Error","FAIL",IF(OR(I47="",J47=""),"Needs evidence / answer",IF(NOT(OR(K47="Answered",K47="Clarification",K47="Abstained")),"Choose outcome",IF(X47&lt;&gt;"Yes","Confirm claim inventory",IF(AND(K47="Answered",O47=0),"Needs claims",IF(Q47&gt;0,"Needs claim review",IF(OR(NOT(OR(L47="Yes",L47="No")),T47=""),"Needs response review",IF(OR(L47="No",M47&gt;0,N47&gt;0,AND(ISNUMBER(R47),R47&lt;Dashboard!$B$5)),"FAIL","PASS"))))))))))))</f>
        <v/>
      </c>
      <c r="V47" s="11">
        <f>IF(B47="","",IFERROR(VLOOKUP(B47,'Test Cases'!$A$6:$J$205,7,FALSE),"Unknown Test ID"))</f>
        <v/>
      </c>
      <c r="W47" s="11">
        <f>IF(B47="","",IFERROR(VLOOKUP(B47,'Test Cases'!$A$6:$J$205,8,FALSE),"Unknown Test ID"))</f>
        <v/>
      </c>
    </row>
    <row r="48" spans="3:23">
      <c r="C48" s="11">
        <f>IF(B48="","",IFERROR(VLOOKUP(B48,'Test Cases'!$A$6:$J$205,2,FALSE),"Unknown Test ID"))</f>
        <v/>
      </c>
      <c r="D48" s="11">
        <f>IF(B48="","",IFERROR(VLOOKUP(B48,'Test Cases'!$A$6:$J$205,5,FALSE),"Unknown Test ID"))</f>
        <v/>
      </c>
      <c r="M48" s="11">
        <f>IF(A48="","",COUNTIFS('Claim Review'!$A$6:$A$2005,A48,'Claim Review'!$C$6:$C$2005,"&lt;&gt;",'Claim Review'!$G$6:$G$2005,"Wrong citation")+COUNTIFS('Claim Review'!$A$6:$A$2005,A48,'Claim Review'!$C$6:$C$2005,"&lt;&gt;",'Claim Review'!$G$6:$G$2005,"Missing citation"))</f>
        <v/>
      </c>
      <c r="N48" s="11">
        <f>IF(A48="","",COUNTIFS('Claim Review'!$A$6:$A$2005,A48,'Claim Review'!$C$6:$C$2005,"&lt;&gt;",'Claim Review'!$H$6:$H$2005,"Yes"))</f>
        <v/>
      </c>
      <c r="O48" s="11">
        <f>IF(A48="","",COUNTIFS('Claim Review'!$A$6:$A$2005,A48,'Claim Review'!$C$6:$C$2005,"&lt;&gt;"))</f>
        <v/>
      </c>
      <c r="P48" s="11">
        <f>IF(A48="","",COUNTIFS('Claim Review'!$A$6:$A$2005,A48,'Claim Review'!$C$6:$C$2005,"&lt;&gt;",'Claim Review'!$F$6:$F$2005,"Supported"))</f>
        <v/>
      </c>
      <c r="Q48" s="11">
        <f>IF(A48="","",O48-COUNTIFS('Claim Review'!$A$6:$A$2005,A48,'Claim Review'!$C$6:$C$2005,"&lt;&gt;",'Claim Review'!$K$6:$K$2005,"Yes"))</f>
        <v/>
      </c>
      <c r="R48" s="12">
        <f>IF(AND(A48&lt;&gt;"",COUNTIF($A$6:$A$205,A48)=1,COUNTIF('Test Cases'!$A$6:$A$205,B48)=1,I48&lt;&gt;"",J48&lt;&gt;"",OR(K48="Answered",K48="Clarification",K48="Abstained"),X48="Yes",T48&lt;&gt;"",O48&gt;0,Q48=0),P48/MAX(1,O48),"")</f>
        <v/>
      </c>
      <c r="S48" s="11">
        <f>IF(A48="","",IF(AND(J48="",K48=""),"Pending",IF(COUNTIF($A$6:$A$205,A48)&lt;&gt;1,"Duplicate Run ID",IF(COUNTIF('Test Cases'!$A$6:$A$205,B48)&lt;&gt;1,"Check Test ID",IF(K48="Error","FAIL",IF(OR(I48="",J48=""),"Needs evidence / answer",IF(NOT(OR(K48="Answered",K48="Clarification",K48="Abstained")),"Choose outcome",IF(X48&lt;&gt;"Yes","Confirm claim inventory",IF(AND(K48="Answered",O48=0),"Needs claims",IF(Q48&gt;0,"Needs claim review",IF(OR(NOT(OR(L48="Yes",L48="No")),T48=""),"Needs response review",IF(OR(L48="No",M48&gt;0,N48&gt;0,AND(ISNUMBER(R48),R48&lt;Dashboard!$B$5)),"FAIL","PASS"))))))))))))</f>
        <v/>
      </c>
      <c r="V48" s="11">
        <f>IF(B48="","",IFERROR(VLOOKUP(B48,'Test Cases'!$A$6:$J$205,7,FALSE),"Unknown Test ID"))</f>
        <v/>
      </c>
      <c r="W48" s="11">
        <f>IF(B48="","",IFERROR(VLOOKUP(B48,'Test Cases'!$A$6:$J$205,8,FALSE),"Unknown Test ID"))</f>
        <v/>
      </c>
    </row>
    <row r="49" spans="3:23">
      <c r="C49" s="11">
        <f>IF(B49="","",IFERROR(VLOOKUP(B49,'Test Cases'!$A$6:$J$205,2,FALSE),"Unknown Test ID"))</f>
        <v/>
      </c>
      <c r="D49" s="11">
        <f>IF(B49="","",IFERROR(VLOOKUP(B49,'Test Cases'!$A$6:$J$205,5,FALSE),"Unknown Test ID"))</f>
        <v/>
      </c>
      <c r="M49" s="11">
        <f>IF(A49="","",COUNTIFS('Claim Review'!$A$6:$A$2005,A49,'Claim Review'!$C$6:$C$2005,"&lt;&gt;",'Claim Review'!$G$6:$G$2005,"Wrong citation")+COUNTIFS('Claim Review'!$A$6:$A$2005,A49,'Claim Review'!$C$6:$C$2005,"&lt;&gt;",'Claim Review'!$G$6:$G$2005,"Missing citation"))</f>
        <v/>
      </c>
      <c r="N49" s="11">
        <f>IF(A49="","",COUNTIFS('Claim Review'!$A$6:$A$2005,A49,'Claim Review'!$C$6:$C$2005,"&lt;&gt;",'Claim Review'!$H$6:$H$2005,"Yes"))</f>
        <v/>
      </c>
      <c r="O49" s="11">
        <f>IF(A49="","",COUNTIFS('Claim Review'!$A$6:$A$2005,A49,'Claim Review'!$C$6:$C$2005,"&lt;&gt;"))</f>
        <v/>
      </c>
      <c r="P49" s="11">
        <f>IF(A49="","",COUNTIFS('Claim Review'!$A$6:$A$2005,A49,'Claim Review'!$C$6:$C$2005,"&lt;&gt;",'Claim Review'!$F$6:$F$2005,"Supported"))</f>
        <v/>
      </c>
      <c r="Q49" s="11">
        <f>IF(A49="","",O49-COUNTIFS('Claim Review'!$A$6:$A$2005,A49,'Claim Review'!$C$6:$C$2005,"&lt;&gt;",'Claim Review'!$K$6:$K$2005,"Yes"))</f>
        <v/>
      </c>
      <c r="R49" s="12">
        <f>IF(AND(A49&lt;&gt;"",COUNTIF($A$6:$A$205,A49)=1,COUNTIF('Test Cases'!$A$6:$A$205,B49)=1,I49&lt;&gt;"",J49&lt;&gt;"",OR(K49="Answered",K49="Clarification",K49="Abstained"),X49="Yes",T49&lt;&gt;"",O49&gt;0,Q49=0),P49/MAX(1,O49),"")</f>
        <v/>
      </c>
      <c r="S49" s="11">
        <f>IF(A49="","",IF(AND(J49="",K49=""),"Pending",IF(COUNTIF($A$6:$A$205,A49)&lt;&gt;1,"Duplicate Run ID",IF(COUNTIF('Test Cases'!$A$6:$A$205,B49)&lt;&gt;1,"Check Test ID",IF(K49="Error","FAIL",IF(OR(I49="",J49=""),"Needs evidence / answer",IF(NOT(OR(K49="Answered",K49="Clarification",K49="Abstained")),"Choose outcome",IF(X49&lt;&gt;"Yes","Confirm claim inventory",IF(AND(K49="Answered",O49=0),"Needs claims",IF(Q49&gt;0,"Needs claim review",IF(OR(NOT(OR(L49="Yes",L49="No")),T49=""),"Needs response review",IF(OR(L49="No",M49&gt;0,N49&gt;0,AND(ISNUMBER(R49),R49&lt;Dashboard!$B$5)),"FAIL","PASS"))))))))))))</f>
        <v/>
      </c>
      <c r="V49" s="11">
        <f>IF(B49="","",IFERROR(VLOOKUP(B49,'Test Cases'!$A$6:$J$205,7,FALSE),"Unknown Test ID"))</f>
        <v/>
      </c>
      <c r="W49" s="11">
        <f>IF(B49="","",IFERROR(VLOOKUP(B49,'Test Cases'!$A$6:$J$205,8,FALSE),"Unknown Test ID"))</f>
        <v/>
      </c>
    </row>
    <row r="50" spans="3:23">
      <c r="C50" s="11">
        <f>IF(B50="","",IFERROR(VLOOKUP(B50,'Test Cases'!$A$6:$J$205,2,FALSE),"Unknown Test ID"))</f>
        <v/>
      </c>
      <c r="D50" s="11">
        <f>IF(B50="","",IFERROR(VLOOKUP(B50,'Test Cases'!$A$6:$J$205,5,FALSE),"Unknown Test ID"))</f>
        <v/>
      </c>
      <c r="M50" s="11">
        <f>IF(A50="","",COUNTIFS('Claim Review'!$A$6:$A$2005,A50,'Claim Review'!$C$6:$C$2005,"&lt;&gt;",'Claim Review'!$G$6:$G$2005,"Wrong citation")+COUNTIFS('Claim Review'!$A$6:$A$2005,A50,'Claim Review'!$C$6:$C$2005,"&lt;&gt;",'Claim Review'!$G$6:$G$2005,"Missing citation"))</f>
        <v/>
      </c>
      <c r="N50" s="11">
        <f>IF(A50="","",COUNTIFS('Claim Review'!$A$6:$A$2005,A50,'Claim Review'!$C$6:$C$2005,"&lt;&gt;",'Claim Review'!$H$6:$H$2005,"Yes"))</f>
        <v/>
      </c>
      <c r="O50" s="11">
        <f>IF(A50="","",COUNTIFS('Claim Review'!$A$6:$A$2005,A50,'Claim Review'!$C$6:$C$2005,"&lt;&gt;"))</f>
        <v/>
      </c>
      <c r="P50" s="11">
        <f>IF(A50="","",COUNTIFS('Claim Review'!$A$6:$A$2005,A50,'Claim Review'!$C$6:$C$2005,"&lt;&gt;",'Claim Review'!$F$6:$F$2005,"Supported"))</f>
        <v/>
      </c>
      <c r="Q50" s="11">
        <f>IF(A50="","",O50-COUNTIFS('Claim Review'!$A$6:$A$2005,A50,'Claim Review'!$C$6:$C$2005,"&lt;&gt;",'Claim Review'!$K$6:$K$2005,"Yes"))</f>
        <v/>
      </c>
      <c r="R50" s="12">
        <f>IF(AND(A50&lt;&gt;"",COUNTIF($A$6:$A$205,A50)=1,COUNTIF('Test Cases'!$A$6:$A$205,B50)=1,I50&lt;&gt;"",J50&lt;&gt;"",OR(K50="Answered",K50="Clarification",K50="Abstained"),X50="Yes",T50&lt;&gt;"",O50&gt;0,Q50=0),P50/MAX(1,O50),"")</f>
        <v/>
      </c>
      <c r="S50" s="11">
        <f>IF(A50="","",IF(AND(J50="",K50=""),"Pending",IF(COUNTIF($A$6:$A$205,A50)&lt;&gt;1,"Duplicate Run ID",IF(COUNTIF('Test Cases'!$A$6:$A$205,B50)&lt;&gt;1,"Check Test ID",IF(K50="Error","FAIL",IF(OR(I50="",J50=""),"Needs evidence / answer",IF(NOT(OR(K50="Answered",K50="Clarification",K50="Abstained")),"Choose outcome",IF(X50&lt;&gt;"Yes","Confirm claim inventory",IF(AND(K50="Answered",O50=0),"Needs claims",IF(Q50&gt;0,"Needs claim review",IF(OR(NOT(OR(L50="Yes",L50="No")),T50=""),"Needs response review",IF(OR(L50="No",M50&gt;0,N50&gt;0,AND(ISNUMBER(R50),R50&lt;Dashboard!$B$5)),"FAIL","PASS"))))))))))))</f>
        <v/>
      </c>
      <c r="V50" s="11">
        <f>IF(B50="","",IFERROR(VLOOKUP(B50,'Test Cases'!$A$6:$J$205,7,FALSE),"Unknown Test ID"))</f>
        <v/>
      </c>
      <c r="W50" s="11">
        <f>IF(B50="","",IFERROR(VLOOKUP(B50,'Test Cases'!$A$6:$J$205,8,FALSE),"Unknown Test ID"))</f>
        <v/>
      </c>
    </row>
    <row r="51" spans="3:23">
      <c r="C51" s="11">
        <f>IF(B51="","",IFERROR(VLOOKUP(B51,'Test Cases'!$A$6:$J$205,2,FALSE),"Unknown Test ID"))</f>
        <v/>
      </c>
      <c r="D51" s="11">
        <f>IF(B51="","",IFERROR(VLOOKUP(B51,'Test Cases'!$A$6:$J$205,5,FALSE),"Unknown Test ID"))</f>
        <v/>
      </c>
      <c r="M51" s="11">
        <f>IF(A51="","",COUNTIFS('Claim Review'!$A$6:$A$2005,A51,'Claim Review'!$C$6:$C$2005,"&lt;&gt;",'Claim Review'!$G$6:$G$2005,"Wrong citation")+COUNTIFS('Claim Review'!$A$6:$A$2005,A51,'Claim Review'!$C$6:$C$2005,"&lt;&gt;",'Claim Review'!$G$6:$G$2005,"Missing citation"))</f>
        <v/>
      </c>
      <c r="N51" s="11">
        <f>IF(A51="","",COUNTIFS('Claim Review'!$A$6:$A$2005,A51,'Claim Review'!$C$6:$C$2005,"&lt;&gt;",'Claim Review'!$H$6:$H$2005,"Yes"))</f>
        <v/>
      </c>
      <c r="O51" s="11">
        <f>IF(A51="","",COUNTIFS('Claim Review'!$A$6:$A$2005,A51,'Claim Review'!$C$6:$C$2005,"&lt;&gt;"))</f>
        <v/>
      </c>
      <c r="P51" s="11">
        <f>IF(A51="","",COUNTIFS('Claim Review'!$A$6:$A$2005,A51,'Claim Review'!$C$6:$C$2005,"&lt;&gt;",'Claim Review'!$F$6:$F$2005,"Supported"))</f>
        <v/>
      </c>
      <c r="Q51" s="11">
        <f>IF(A51="","",O51-COUNTIFS('Claim Review'!$A$6:$A$2005,A51,'Claim Review'!$C$6:$C$2005,"&lt;&gt;",'Claim Review'!$K$6:$K$2005,"Yes"))</f>
        <v/>
      </c>
      <c r="R51" s="12">
        <f>IF(AND(A51&lt;&gt;"",COUNTIF($A$6:$A$205,A51)=1,COUNTIF('Test Cases'!$A$6:$A$205,B51)=1,I51&lt;&gt;"",J51&lt;&gt;"",OR(K51="Answered",K51="Clarification",K51="Abstained"),X51="Yes",T51&lt;&gt;"",O51&gt;0,Q51=0),P51/MAX(1,O51),"")</f>
        <v/>
      </c>
      <c r="S51" s="11">
        <f>IF(A51="","",IF(AND(J51="",K51=""),"Pending",IF(COUNTIF($A$6:$A$205,A51)&lt;&gt;1,"Duplicate Run ID",IF(COUNTIF('Test Cases'!$A$6:$A$205,B51)&lt;&gt;1,"Check Test ID",IF(K51="Error","FAIL",IF(OR(I51="",J51=""),"Needs evidence / answer",IF(NOT(OR(K51="Answered",K51="Clarification",K51="Abstained")),"Choose outcome",IF(X51&lt;&gt;"Yes","Confirm claim inventory",IF(AND(K51="Answered",O51=0),"Needs claims",IF(Q51&gt;0,"Needs claim review",IF(OR(NOT(OR(L51="Yes",L51="No")),T51=""),"Needs response review",IF(OR(L51="No",M51&gt;0,N51&gt;0,AND(ISNUMBER(R51),R51&lt;Dashboard!$B$5)),"FAIL","PASS"))))))))))))</f>
        <v/>
      </c>
      <c r="V51" s="11">
        <f>IF(B51="","",IFERROR(VLOOKUP(B51,'Test Cases'!$A$6:$J$205,7,FALSE),"Unknown Test ID"))</f>
        <v/>
      </c>
      <c r="W51" s="11">
        <f>IF(B51="","",IFERROR(VLOOKUP(B51,'Test Cases'!$A$6:$J$205,8,FALSE),"Unknown Test ID"))</f>
        <v/>
      </c>
    </row>
    <row r="52" spans="3:23">
      <c r="C52" s="11">
        <f>IF(B52="","",IFERROR(VLOOKUP(B52,'Test Cases'!$A$6:$J$205,2,FALSE),"Unknown Test ID"))</f>
        <v/>
      </c>
      <c r="D52" s="11">
        <f>IF(B52="","",IFERROR(VLOOKUP(B52,'Test Cases'!$A$6:$J$205,5,FALSE),"Unknown Test ID"))</f>
        <v/>
      </c>
      <c r="M52" s="11">
        <f>IF(A52="","",COUNTIFS('Claim Review'!$A$6:$A$2005,A52,'Claim Review'!$C$6:$C$2005,"&lt;&gt;",'Claim Review'!$G$6:$G$2005,"Wrong citation")+COUNTIFS('Claim Review'!$A$6:$A$2005,A52,'Claim Review'!$C$6:$C$2005,"&lt;&gt;",'Claim Review'!$G$6:$G$2005,"Missing citation"))</f>
        <v/>
      </c>
      <c r="N52" s="11">
        <f>IF(A52="","",COUNTIFS('Claim Review'!$A$6:$A$2005,A52,'Claim Review'!$C$6:$C$2005,"&lt;&gt;",'Claim Review'!$H$6:$H$2005,"Yes"))</f>
        <v/>
      </c>
      <c r="O52" s="11">
        <f>IF(A52="","",COUNTIFS('Claim Review'!$A$6:$A$2005,A52,'Claim Review'!$C$6:$C$2005,"&lt;&gt;"))</f>
        <v/>
      </c>
      <c r="P52" s="11">
        <f>IF(A52="","",COUNTIFS('Claim Review'!$A$6:$A$2005,A52,'Claim Review'!$C$6:$C$2005,"&lt;&gt;",'Claim Review'!$F$6:$F$2005,"Supported"))</f>
        <v/>
      </c>
      <c r="Q52" s="11">
        <f>IF(A52="","",O52-COUNTIFS('Claim Review'!$A$6:$A$2005,A52,'Claim Review'!$C$6:$C$2005,"&lt;&gt;",'Claim Review'!$K$6:$K$2005,"Yes"))</f>
        <v/>
      </c>
      <c r="R52" s="12">
        <f>IF(AND(A52&lt;&gt;"",COUNTIF($A$6:$A$205,A52)=1,COUNTIF('Test Cases'!$A$6:$A$205,B52)=1,I52&lt;&gt;"",J52&lt;&gt;"",OR(K52="Answered",K52="Clarification",K52="Abstained"),X52="Yes",T52&lt;&gt;"",O52&gt;0,Q52=0),P52/MAX(1,O52),"")</f>
        <v/>
      </c>
      <c r="S52" s="11">
        <f>IF(A52="","",IF(AND(J52="",K52=""),"Pending",IF(COUNTIF($A$6:$A$205,A52)&lt;&gt;1,"Duplicate Run ID",IF(COUNTIF('Test Cases'!$A$6:$A$205,B52)&lt;&gt;1,"Check Test ID",IF(K52="Error","FAIL",IF(OR(I52="",J52=""),"Needs evidence / answer",IF(NOT(OR(K52="Answered",K52="Clarification",K52="Abstained")),"Choose outcome",IF(X52&lt;&gt;"Yes","Confirm claim inventory",IF(AND(K52="Answered",O52=0),"Needs claims",IF(Q52&gt;0,"Needs claim review",IF(OR(NOT(OR(L52="Yes",L52="No")),T52=""),"Needs response review",IF(OR(L52="No",M52&gt;0,N52&gt;0,AND(ISNUMBER(R52),R52&lt;Dashboard!$B$5)),"FAIL","PASS"))))))))))))</f>
        <v/>
      </c>
      <c r="V52" s="11">
        <f>IF(B52="","",IFERROR(VLOOKUP(B52,'Test Cases'!$A$6:$J$205,7,FALSE),"Unknown Test ID"))</f>
        <v/>
      </c>
      <c r="W52" s="11">
        <f>IF(B52="","",IFERROR(VLOOKUP(B52,'Test Cases'!$A$6:$J$205,8,FALSE),"Unknown Test ID"))</f>
        <v/>
      </c>
    </row>
    <row r="53" spans="3:23">
      <c r="C53" s="11">
        <f>IF(B53="","",IFERROR(VLOOKUP(B53,'Test Cases'!$A$6:$J$205,2,FALSE),"Unknown Test ID"))</f>
        <v/>
      </c>
      <c r="D53" s="11">
        <f>IF(B53="","",IFERROR(VLOOKUP(B53,'Test Cases'!$A$6:$J$205,5,FALSE),"Unknown Test ID"))</f>
        <v/>
      </c>
      <c r="M53" s="11">
        <f>IF(A53="","",COUNTIFS('Claim Review'!$A$6:$A$2005,A53,'Claim Review'!$C$6:$C$2005,"&lt;&gt;",'Claim Review'!$G$6:$G$2005,"Wrong citation")+COUNTIFS('Claim Review'!$A$6:$A$2005,A53,'Claim Review'!$C$6:$C$2005,"&lt;&gt;",'Claim Review'!$G$6:$G$2005,"Missing citation"))</f>
        <v/>
      </c>
      <c r="N53" s="11">
        <f>IF(A53="","",COUNTIFS('Claim Review'!$A$6:$A$2005,A53,'Claim Review'!$C$6:$C$2005,"&lt;&gt;",'Claim Review'!$H$6:$H$2005,"Yes"))</f>
        <v/>
      </c>
      <c r="O53" s="11">
        <f>IF(A53="","",COUNTIFS('Claim Review'!$A$6:$A$2005,A53,'Claim Review'!$C$6:$C$2005,"&lt;&gt;"))</f>
        <v/>
      </c>
      <c r="P53" s="11">
        <f>IF(A53="","",COUNTIFS('Claim Review'!$A$6:$A$2005,A53,'Claim Review'!$C$6:$C$2005,"&lt;&gt;",'Claim Review'!$F$6:$F$2005,"Supported"))</f>
        <v/>
      </c>
      <c r="Q53" s="11">
        <f>IF(A53="","",O53-COUNTIFS('Claim Review'!$A$6:$A$2005,A53,'Claim Review'!$C$6:$C$2005,"&lt;&gt;",'Claim Review'!$K$6:$K$2005,"Yes"))</f>
        <v/>
      </c>
      <c r="R53" s="12">
        <f>IF(AND(A53&lt;&gt;"",COUNTIF($A$6:$A$205,A53)=1,COUNTIF('Test Cases'!$A$6:$A$205,B53)=1,I53&lt;&gt;"",J53&lt;&gt;"",OR(K53="Answered",K53="Clarification",K53="Abstained"),X53="Yes",T53&lt;&gt;"",O53&gt;0,Q53=0),P53/MAX(1,O53),"")</f>
        <v/>
      </c>
      <c r="S53" s="11">
        <f>IF(A53="","",IF(AND(J53="",K53=""),"Pending",IF(COUNTIF($A$6:$A$205,A53)&lt;&gt;1,"Duplicate Run ID",IF(COUNTIF('Test Cases'!$A$6:$A$205,B53)&lt;&gt;1,"Check Test ID",IF(K53="Error","FAIL",IF(OR(I53="",J53=""),"Needs evidence / answer",IF(NOT(OR(K53="Answered",K53="Clarification",K53="Abstained")),"Choose outcome",IF(X53&lt;&gt;"Yes","Confirm claim inventory",IF(AND(K53="Answered",O53=0),"Needs claims",IF(Q53&gt;0,"Needs claim review",IF(OR(NOT(OR(L53="Yes",L53="No")),T53=""),"Needs response review",IF(OR(L53="No",M53&gt;0,N53&gt;0,AND(ISNUMBER(R53),R53&lt;Dashboard!$B$5)),"FAIL","PASS"))))))))))))</f>
        <v/>
      </c>
      <c r="V53" s="11">
        <f>IF(B53="","",IFERROR(VLOOKUP(B53,'Test Cases'!$A$6:$J$205,7,FALSE),"Unknown Test ID"))</f>
        <v/>
      </c>
      <c r="W53" s="11">
        <f>IF(B53="","",IFERROR(VLOOKUP(B53,'Test Cases'!$A$6:$J$205,8,FALSE),"Unknown Test ID"))</f>
        <v/>
      </c>
    </row>
    <row r="54" spans="3:23">
      <c r="C54" s="11">
        <f>IF(B54="","",IFERROR(VLOOKUP(B54,'Test Cases'!$A$6:$J$205,2,FALSE),"Unknown Test ID"))</f>
        <v/>
      </c>
      <c r="D54" s="11">
        <f>IF(B54="","",IFERROR(VLOOKUP(B54,'Test Cases'!$A$6:$J$205,5,FALSE),"Unknown Test ID"))</f>
        <v/>
      </c>
      <c r="M54" s="11">
        <f>IF(A54="","",COUNTIFS('Claim Review'!$A$6:$A$2005,A54,'Claim Review'!$C$6:$C$2005,"&lt;&gt;",'Claim Review'!$G$6:$G$2005,"Wrong citation")+COUNTIFS('Claim Review'!$A$6:$A$2005,A54,'Claim Review'!$C$6:$C$2005,"&lt;&gt;",'Claim Review'!$G$6:$G$2005,"Missing citation"))</f>
        <v/>
      </c>
      <c r="N54" s="11">
        <f>IF(A54="","",COUNTIFS('Claim Review'!$A$6:$A$2005,A54,'Claim Review'!$C$6:$C$2005,"&lt;&gt;",'Claim Review'!$H$6:$H$2005,"Yes"))</f>
        <v/>
      </c>
      <c r="O54" s="11">
        <f>IF(A54="","",COUNTIFS('Claim Review'!$A$6:$A$2005,A54,'Claim Review'!$C$6:$C$2005,"&lt;&gt;"))</f>
        <v/>
      </c>
      <c r="P54" s="11">
        <f>IF(A54="","",COUNTIFS('Claim Review'!$A$6:$A$2005,A54,'Claim Review'!$C$6:$C$2005,"&lt;&gt;",'Claim Review'!$F$6:$F$2005,"Supported"))</f>
        <v/>
      </c>
      <c r="Q54" s="11">
        <f>IF(A54="","",O54-COUNTIFS('Claim Review'!$A$6:$A$2005,A54,'Claim Review'!$C$6:$C$2005,"&lt;&gt;",'Claim Review'!$K$6:$K$2005,"Yes"))</f>
        <v/>
      </c>
      <c r="R54" s="12">
        <f>IF(AND(A54&lt;&gt;"",COUNTIF($A$6:$A$205,A54)=1,COUNTIF('Test Cases'!$A$6:$A$205,B54)=1,I54&lt;&gt;"",J54&lt;&gt;"",OR(K54="Answered",K54="Clarification",K54="Abstained"),X54="Yes",T54&lt;&gt;"",O54&gt;0,Q54=0),P54/MAX(1,O54),"")</f>
        <v/>
      </c>
      <c r="S54" s="11">
        <f>IF(A54="","",IF(AND(J54="",K54=""),"Pending",IF(COUNTIF($A$6:$A$205,A54)&lt;&gt;1,"Duplicate Run ID",IF(COUNTIF('Test Cases'!$A$6:$A$205,B54)&lt;&gt;1,"Check Test ID",IF(K54="Error","FAIL",IF(OR(I54="",J54=""),"Needs evidence / answer",IF(NOT(OR(K54="Answered",K54="Clarification",K54="Abstained")),"Choose outcome",IF(X54&lt;&gt;"Yes","Confirm claim inventory",IF(AND(K54="Answered",O54=0),"Needs claims",IF(Q54&gt;0,"Needs claim review",IF(OR(NOT(OR(L54="Yes",L54="No")),T54=""),"Needs response review",IF(OR(L54="No",M54&gt;0,N54&gt;0,AND(ISNUMBER(R54),R54&lt;Dashboard!$B$5)),"FAIL","PASS"))))))))))))</f>
        <v/>
      </c>
      <c r="V54" s="11">
        <f>IF(B54="","",IFERROR(VLOOKUP(B54,'Test Cases'!$A$6:$J$205,7,FALSE),"Unknown Test ID"))</f>
        <v/>
      </c>
      <c r="W54" s="11">
        <f>IF(B54="","",IFERROR(VLOOKUP(B54,'Test Cases'!$A$6:$J$205,8,FALSE),"Unknown Test ID"))</f>
        <v/>
      </c>
    </row>
    <row r="55" spans="3:23">
      <c r="C55" s="11">
        <f>IF(B55="","",IFERROR(VLOOKUP(B55,'Test Cases'!$A$6:$J$205,2,FALSE),"Unknown Test ID"))</f>
        <v/>
      </c>
      <c r="D55" s="11">
        <f>IF(B55="","",IFERROR(VLOOKUP(B55,'Test Cases'!$A$6:$J$205,5,FALSE),"Unknown Test ID"))</f>
        <v/>
      </c>
      <c r="M55" s="11">
        <f>IF(A55="","",COUNTIFS('Claim Review'!$A$6:$A$2005,A55,'Claim Review'!$C$6:$C$2005,"&lt;&gt;",'Claim Review'!$G$6:$G$2005,"Wrong citation")+COUNTIFS('Claim Review'!$A$6:$A$2005,A55,'Claim Review'!$C$6:$C$2005,"&lt;&gt;",'Claim Review'!$G$6:$G$2005,"Missing citation"))</f>
        <v/>
      </c>
      <c r="N55" s="11">
        <f>IF(A55="","",COUNTIFS('Claim Review'!$A$6:$A$2005,A55,'Claim Review'!$C$6:$C$2005,"&lt;&gt;",'Claim Review'!$H$6:$H$2005,"Yes"))</f>
        <v/>
      </c>
      <c r="O55" s="11">
        <f>IF(A55="","",COUNTIFS('Claim Review'!$A$6:$A$2005,A55,'Claim Review'!$C$6:$C$2005,"&lt;&gt;"))</f>
        <v/>
      </c>
      <c r="P55" s="11">
        <f>IF(A55="","",COUNTIFS('Claim Review'!$A$6:$A$2005,A55,'Claim Review'!$C$6:$C$2005,"&lt;&gt;",'Claim Review'!$F$6:$F$2005,"Supported"))</f>
        <v/>
      </c>
      <c r="Q55" s="11">
        <f>IF(A55="","",O55-COUNTIFS('Claim Review'!$A$6:$A$2005,A55,'Claim Review'!$C$6:$C$2005,"&lt;&gt;",'Claim Review'!$K$6:$K$2005,"Yes"))</f>
        <v/>
      </c>
      <c r="R55" s="12">
        <f>IF(AND(A55&lt;&gt;"",COUNTIF($A$6:$A$205,A55)=1,COUNTIF('Test Cases'!$A$6:$A$205,B55)=1,I55&lt;&gt;"",J55&lt;&gt;"",OR(K55="Answered",K55="Clarification",K55="Abstained"),X55="Yes",T55&lt;&gt;"",O55&gt;0,Q55=0),P55/MAX(1,O55),"")</f>
        <v/>
      </c>
      <c r="S55" s="11">
        <f>IF(A55="","",IF(AND(J55="",K55=""),"Pending",IF(COUNTIF($A$6:$A$205,A55)&lt;&gt;1,"Duplicate Run ID",IF(COUNTIF('Test Cases'!$A$6:$A$205,B55)&lt;&gt;1,"Check Test ID",IF(K55="Error","FAIL",IF(OR(I55="",J55=""),"Needs evidence / answer",IF(NOT(OR(K55="Answered",K55="Clarification",K55="Abstained")),"Choose outcome",IF(X55&lt;&gt;"Yes","Confirm claim inventory",IF(AND(K55="Answered",O55=0),"Needs claims",IF(Q55&gt;0,"Needs claim review",IF(OR(NOT(OR(L55="Yes",L55="No")),T55=""),"Needs response review",IF(OR(L55="No",M55&gt;0,N55&gt;0,AND(ISNUMBER(R55),R55&lt;Dashboard!$B$5)),"FAIL","PASS"))))))))))))</f>
        <v/>
      </c>
      <c r="V55" s="11">
        <f>IF(B55="","",IFERROR(VLOOKUP(B55,'Test Cases'!$A$6:$J$205,7,FALSE),"Unknown Test ID"))</f>
        <v/>
      </c>
      <c r="W55" s="11">
        <f>IF(B55="","",IFERROR(VLOOKUP(B55,'Test Cases'!$A$6:$J$205,8,FALSE),"Unknown Test ID"))</f>
        <v/>
      </c>
    </row>
    <row r="56" spans="3:23">
      <c r="C56" s="11">
        <f>IF(B56="","",IFERROR(VLOOKUP(B56,'Test Cases'!$A$6:$J$205,2,FALSE),"Unknown Test ID"))</f>
        <v/>
      </c>
      <c r="D56" s="11">
        <f>IF(B56="","",IFERROR(VLOOKUP(B56,'Test Cases'!$A$6:$J$205,5,FALSE),"Unknown Test ID"))</f>
        <v/>
      </c>
      <c r="M56" s="11">
        <f>IF(A56="","",COUNTIFS('Claim Review'!$A$6:$A$2005,A56,'Claim Review'!$C$6:$C$2005,"&lt;&gt;",'Claim Review'!$G$6:$G$2005,"Wrong citation")+COUNTIFS('Claim Review'!$A$6:$A$2005,A56,'Claim Review'!$C$6:$C$2005,"&lt;&gt;",'Claim Review'!$G$6:$G$2005,"Missing citation"))</f>
        <v/>
      </c>
      <c r="N56" s="11">
        <f>IF(A56="","",COUNTIFS('Claim Review'!$A$6:$A$2005,A56,'Claim Review'!$C$6:$C$2005,"&lt;&gt;",'Claim Review'!$H$6:$H$2005,"Yes"))</f>
        <v/>
      </c>
      <c r="O56" s="11">
        <f>IF(A56="","",COUNTIFS('Claim Review'!$A$6:$A$2005,A56,'Claim Review'!$C$6:$C$2005,"&lt;&gt;"))</f>
        <v/>
      </c>
      <c r="P56" s="11">
        <f>IF(A56="","",COUNTIFS('Claim Review'!$A$6:$A$2005,A56,'Claim Review'!$C$6:$C$2005,"&lt;&gt;",'Claim Review'!$F$6:$F$2005,"Supported"))</f>
        <v/>
      </c>
      <c r="Q56" s="11">
        <f>IF(A56="","",O56-COUNTIFS('Claim Review'!$A$6:$A$2005,A56,'Claim Review'!$C$6:$C$2005,"&lt;&gt;",'Claim Review'!$K$6:$K$2005,"Yes"))</f>
        <v/>
      </c>
      <c r="R56" s="12">
        <f>IF(AND(A56&lt;&gt;"",COUNTIF($A$6:$A$205,A56)=1,COUNTIF('Test Cases'!$A$6:$A$205,B56)=1,I56&lt;&gt;"",J56&lt;&gt;"",OR(K56="Answered",K56="Clarification",K56="Abstained"),X56="Yes",T56&lt;&gt;"",O56&gt;0,Q56=0),P56/MAX(1,O56),"")</f>
        <v/>
      </c>
      <c r="S56" s="11">
        <f>IF(A56="","",IF(AND(J56="",K56=""),"Pending",IF(COUNTIF($A$6:$A$205,A56)&lt;&gt;1,"Duplicate Run ID",IF(COUNTIF('Test Cases'!$A$6:$A$205,B56)&lt;&gt;1,"Check Test ID",IF(K56="Error","FAIL",IF(OR(I56="",J56=""),"Needs evidence / answer",IF(NOT(OR(K56="Answered",K56="Clarification",K56="Abstained")),"Choose outcome",IF(X56&lt;&gt;"Yes","Confirm claim inventory",IF(AND(K56="Answered",O56=0),"Needs claims",IF(Q56&gt;0,"Needs claim review",IF(OR(NOT(OR(L56="Yes",L56="No")),T56=""),"Needs response review",IF(OR(L56="No",M56&gt;0,N56&gt;0,AND(ISNUMBER(R56),R56&lt;Dashboard!$B$5)),"FAIL","PASS"))))))))))))</f>
        <v/>
      </c>
      <c r="V56" s="11">
        <f>IF(B56="","",IFERROR(VLOOKUP(B56,'Test Cases'!$A$6:$J$205,7,FALSE),"Unknown Test ID"))</f>
        <v/>
      </c>
      <c r="W56" s="11">
        <f>IF(B56="","",IFERROR(VLOOKUP(B56,'Test Cases'!$A$6:$J$205,8,FALSE),"Unknown Test ID"))</f>
        <v/>
      </c>
    </row>
    <row r="57" spans="3:23">
      <c r="C57" s="11">
        <f>IF(B57="","",IFERROR(VLOOKUP(B57,'Test Cases'!$A$6:$J$205,2,FALSE),"Unknown Test ID"))</f>
        <v/>
      </c>
      <c r="D57" s="11">
        <f>IF(B57="","",IFERROR(VLOOKUP(B57,'Test Cases'!$A$6:$J$205,5,FALSE),"Unknown Test ID"))</f>
        <v/>
      </c>
      <c r="M57" s="11">
        <f>IF(A57="","",COUNTIFS('Claim Review'!$A$6:$A$2005,A57,'Claim Review'!$C$6:$C$2005,"&lt;&gt;",'Claim Review'!$G$6:$G$2005,"Wrong citation")+COUNTIFS('Claim Review'!$A$6:$A$2005,A57,'Claim Review'!$C$6:$C$2005,"&lt;&gt;",'Claim Review'!$G$6:$G$2005,"Missing citation"))</f>
        <v/>
      </c>
      <c r="N57" s="11">
        <f>IF(A57="","",COUNTIFS('Claim Review'!$A$6:$A$2005,A57,'Claim Review'!$C$6:$C$2005,"&lt;&gt;",'Claim Review'!$H$6:$H$2005,"Yes"))</f>
        <v/>
      </c>
      <c r="O57" s="11">
        <f>IF(A57="","",COUNTIFS('Claim Review'!$A$6:$A$2005,A57,'Claim Review'!$C$6:$C$2005,"&lt;&gt;"))</f>
        <v/>
      </c>
      <c r="P57" s="11">
        <f>IF(A57="","",COUNTIFS('Claim Review'!$A$6:$A$2005,A57,'Claim Review'!$C$6:$C$2005,"&lt;&gt;",'Claim Review'!$F$6:$F$2005,"Supported"))</f>
        <v/>
      </c>
      <c r="Q57" s="11">
        <f>IF(A57="","",O57-COUNTIFS('Claim Review'!$A$6:$A$2005,A57,'Claim Review'!$C$6:$C$2005,"&lt;&gt;",'Claim Review'!$K$6:$K$2005,"Yes"))</f>
        <v/>
      </c>
      <c r="R57" s="12">
        <f>IF(AND(A57&lt;&gt;"",COUNTIF($A$6:$A$205,A57)=1,COUNTIF('Test Cases'!$A$6:$A$205,B57)=1,I57&lt;&gt;"",J57&lt;&gt;"",OR(K57="Answered",K57="Clarification",K57="Abstained"),X57="Yes",T57&lt;&gt;"",O57&gt;0,Q57=0),P57/MAX(1,O57),"")</f>
        <v/>
      </c>
      <c r="S57" s="11">
        <f>IF(A57="","",IF(AND(J57="",K57=""),"Pending",IF(COUNTIF($A$6:$A$205,A57)&lt;&gt;1,"Duplicate Run ID",IF(COUNTIF('Test Cases'!$A$6:$A$205,B57)&lt;&gt;1,"Check Test ID",IF(K57="Error","FAIL",IF(OR(I57="",J57=""),"Needs evidence / answer",IF(NOT(OR(K57="Answered",K57="Clarification",K57="Abstained")),"Choose outcome",IF(X57&lt;&gt;"Yes","Confirm claim inventory",IF(AND(K57="Answered",O57=0),"Needs claims",IF(Q57&gt;0,"Needs claim review",IF(OR(NOT(OR(L57="Yes",L57="No")),T57=""),"Needs response review",IF(OR(L57="No",M57&gt;0,N57&gt;0,AND(ISNUMBER(R57),R57&lt;Dashboard!$B$5)),"FAIL","PASS"))))))))))))</f>
        <v/>
      </c>
      <c r="V57" s="11">
        <f>IF(B57="","",IFERROR(VLOOKUP(B57,'Test Cases'!$A$6:$J$205,7,FALSE),"Unknown Test ID"))</f>
        <v/>
      </c>
      <c r="W57" s="11">
        <f>IF(B57="","",IFERROR(VLOOKUP(B57,'Test Cases'!$A$6:$J$205,8,FALSE),"Unknown Test ID"))</f>
        <v/>
      </c>
    </row>
    <row r="58" spans="3:23">
      <c r="C58" s="11">
        <f>IF(B58="","",IFERROR(VLOOKUP(B58,'Test Cases'!$A$6:$J$205,2,FALSE),"Unknown Test ID"))</f>
        <v/>
      </c>
      <c r="D58" s="11">
        <f>IF(B58="","",IFERROR(VLOOKUP(B58,'Test Cases'!$A$6:$J$205,5,FALSE),"Unknown Test ID"))</f>
        <v/>
      </c>
      <c r="M58" s="11">
        <f>IF(A58="","",COUNTIFS('Claim Review'!$A$6:$A$2005,A58,'Claim Review'!$C$6:$C$2005,"&lt;&gt;",'Claim Review'!$G$6:$G$2005,"Wrong citation")+COUNTIFS('Claim Review'!$A$6:$A$2005,A58,'Claim Review'!$C$6:$C$2005,"&lt;&gt;",'Claim Review'!$G$6:$G$2005,"Missing citation"))</f>
        <v/>
      </c>
      <c r="N58" s="11">
        <f>IF(A58="","",COUNTIFS('Claim Review'!$A$6:$A$2005,A58,'Claim Review'!$C$6:$C$2005,"&lt;&gt;",'Claim Review'!$H$6:$H$2005,"Yes"))</f>
        <v/>
      </c>
      <c r="O58" s="11">
        <f>IF(A58="","",COUNTIFS('Claim Review'!$A$6:$A$2005,A58,'Claim Review'!$C$6:$C$2005,"&lt;&gt;"))</f>
        <v/>
      </c>
      <c r="P58" s="11">
        <f>IF(A58="","",COUNTIFS('Claim Review'!$A$6:$A$2005,A58,'Claim Review'!$C$6:$C$2005,"&lt;&gt;",'Claim Review'!$F$6:$F$2005,"Supported"))</f>
        <v/>
      </c>
      <c r="Q58" s="11">
        <f>IF(A58="","",O58-COUNTIFS('Claim Review'!$A$6:$A$2005,A58,'Claim Review'!$C$6:$C$2005,"&lt;&gt;",'Claim Review'!$K$6:$K$2005,"Yes"))</f>
        <v/>
      </c>
      <c r="R58" s="12">
        <f>IF(AND(A58&lt;&gt;"",COUNTIF($A$6:$A$205,A58)=1,COUNTIF('Test Cases'!$A$6:$A$205,B58)=1,I58&lt;&gt;"",J58&lt;&gt;"",OR(K58="Answered",K58="Clarification",K58="Abstained"),X58="Yes",T58&lt;&gt;"",O58&gt;0,Q58=0),P58/MAX(1,O58),"")</f>
        <v/>
      </c>
      <c r="S58" s="11">
        <f>IF(A58="","",IF(AND(J58="",K58=""),"Pending",IF(COUNTIF($A$6:$A$205,A58)&lt;&gt;1,"Duplicate Run ID",IF(COUNTIF('Test Cases'!$A$6:$A$205,B58)&lt;&gt;1,"Check Test ID",IF(K58="Error","FAIL",IF(OR(I58="",J58=""),"Needs evidence / answer",IF(NOT(OR(K58="Answered",K58="Clarification",K58="Abstained")),"Choose outcome",IF(X58&lt;&gt;"Yes","Confirm claim inventory",IF(AND(K58="Answered",O58=0),"Needs claims",IF(Q58&gt;0,"Needs claim review",IF(OR(NOT(OR(L58="Yes",L58="No")),T58=""),"Needs response review",IF(OR(L58="No",M58&gt;0,N58&gt;0,AND(ISNUMBER(R58),R58&lt;Dashboard!$B$5)),"FAIL","PASS"))))))))))))</f>
        <v/>
      </c>
      <c r="V58" s="11">
        <f>IF(B58="","",IFERROR(VLOOKUP(B58,'Test Cases'!$A$6:$J$205,7,FALSE),"Unknown Test ID"))</f>
        <v/>
      </c>
      <c r="W58" s="11">
        <f>IF(B58="","",IFERROR(VLOOKUP(B58,'Test Cases'!$A$6:$J$205,8,FALSE),"Unknown Test ID"))</f>
        <v/>
      </c>
    </row>
    <row r="59" spans="3:23">
      <c r="C59" s="11">
        <f>IF(B59="","",IFERROR(VLOOKUP(B59,'Test Cases'!$A$6:$J$205,2,FALSE),"Unknown Test ID"))</f>
        <v/>
      </c>
      <c r="D59" s="11">
        <f>IF(B59="","",IFERROR(VLOOKUP(B59,'Test Cases'!$A$6:$J$205,5,FALSE),"Unknown Test ID"))</f>
        <v/>
      </c>
      <c r="M59" s="11">
        <f>IF(A59="","",COUNTIFS('Claim Review'!$A$6:$A$2005,A59,'Claim Review'!$C$6:$C$2005,"&lt;&gt;",'Claim Review'!$G$6:$G$2005,"Wrong citation")+COUNTIFS('Claim Review'!$A$6:$A$2005,A59,'Claim Review'!$C$6:$C$2005,"&lt;&gt;",'Claim Review'!$G$6:$G$2005,"Missing citation"))</f>
        <v/>
      </c>
      <c r="N59" s="11">
        <f>IF(A59="","",COUNTIFS('Claim Review'!$A$6:$A$2005,A59,'Claim Review'!$C$6:$C$2005,"&lt;&gt;",'Claim Review'!$H$6:$H$2005,"Yes"))</f>
        <v/>
      </c>
      <c r="O59" s="11">
        <f>IF(A59="","",COUNTIFS('Claim Review'!$A$6:$A$2005,A59,'Claim Review'!$C$6:$C$2005,"&lt;&gt;"))</f>
        <v/>
      </c>
      <c r="P59" s="11">
        <f>IF(A59="","",COUNTIFS('Claim Review'!$A$6:$A$2005,A59,'Claim Review'!$C$6:$C$2005,"&lt;&gt;",'Claim Review'!$F$6:$F$2005,"Supported"))</f>
        <v/>
      </c>
      <c r="Q59" s="11">
        <f>IF(A59="","",O59-COUNTIFS('Claim Review'!$A$6:$A$2005,A59,'Claim Review'!$C$6:$C$2005,"&lt;&gt;",'Claim Review'!$K$6:$K$2005,"Yes"))</f>
        <v/>
      </c>
      <c r="R59" s="12">
        <f>IF(AND(A59&lt;&gt;"",COUNTIF($A$6:$A$205,A59)=1,COUNTIF('Test Cases'!$A$6:$A$205,B59)=1,I59&lt;&gt;"",J59&lt;&gt;"",OR(K59="Answered",K59="Clarification",K59="Abstained"),X59="Yes",T59&lt;&gt;"",O59&gt;0,Q59=0),P59/MAX(1,O59),"")</f>
        <v/>
      </c>
      <c r="S59" s="11">
        <f>IF(A59="","",IF(AND(J59="",K59=""),"Pending",IF(COUNTIF($A$6:$A$205,A59)&lt;&gt;1,"Duplicate Run ID",IF(COUNTIF('Test Cases'!$A$6:$A$205,B59)&lt;&gt;1,"Check Test ID",IF(K59="Error","FAIL",IF(OR(I59="",J59=""),"Needs evidence / answer",IF(NOT(OR(K59="Answered",K59="Clarification",K59="Abstained")),"Choose outcome",IF(X59&lt;&gt;"Yes","Confirm claim inventory",IF(AND(K59="Answered",O59=0),"Needs claims",IF(Q59&gt;0,"Needs claim review",IF(OR(NOT(OR(L59="Yes",L59="No")),T59=""),"Needs response review",IF(OR(L59="No",M59&gt;0,N59&gt;0,AND(ISNUMBER(R59),R59&lt;Dashboard!$B$5)),"FAIL","PASS"))))))))))))</f>
        <v/>
      </c>
      <c r="V59" s="11">
        <f>IF(B59="","",IFERROR(VLOOKUP(B59,'Test Cases'!$A$6:$J$205,7,FALSE),"Unknown Test ID"))</f>
        <v/>
      </c>
      <c r="W59" s="11">
        <f>IF(B59="","",IFERROR(VLOOKUP(B59,'Test Cases'!$A$6:$J$205,8,FALSE),"Unknown Test ID"))</f>
        <v/>
      </c>
    </row>
    <row r="60" spans="3:23">
      <c r="C60" s="11">
        <f>IF(B60="","",IFERROR(VLOOKUP(B60,'Test Cases'!$A$6:$J$205,2,FALSE),"Unknown Test ID"))</f>
        <v/>
      </c>
      <c r="D60" s="11">
        <f>IF(B60="","",IFERROR(VLOOKUP(B60,'Test Cases'!$A$6:$J$205,5,FALSE),"Unknown Test ID"))</f>
        <v/>
      </c>
      <c r="M60" s="11">
        <f>IF(A60="","",COUNTIFS('Claim Review'!$A$6:$A$2005,A60,'Claim Review'!$C$6:$C$2005,"&lt;&gt;",'Claim Review'!$G$6:$G$2005,"Wrong citation")+COUNTIFS('Claim Review'!$A$6:$A$2005,A60,'Claim Review'!$C$6:$C$2005,"&lt;&gt;",'Claim Review'!$G$6:$G$2005,"Missing citation"))</f>
        <v/>
      </c>
      <c r="N60" s="11">
        <f>IF(A60="","",COUNTIFS('Claim Review'!$A$6:$A$2005,A60,'Claim Review'!$C$6:$C$2005,"&lt;&gt;",'Claim Review'!$H$6:$H$2005,"Yes"))</f>
        <v/>
      </c>
      <c r="O60" s="11">
        <f>IF(A60="","",COUNTIFS('Claim Review'!$A$6:$A$2005,A60,'Claim Review'!$C$6:$C$2005,"&lt;&gt;"))</f>
        <v/>
      </c>
      <c r="P60" s="11">
        <f>IF(A60="","",COUNTIFS('Claim Review'!$A$6:$A$2005,A60,'Claim Review'!$C$6:$C$2005,"&lt;&gt;",'Claim Review'!$F$6:$F$2005,"Supported"))</f>
        <v/>
      </c>
      <c r="Q60" s="11">
        <f>IF(A60="","",O60-COUNTIFS('Claim Review'!$A$6:$A$2005,A60,'Claim Review'!$C$6:$C$2005,"&lt;&gt;",'Claim Review'!$K$6:$K$2005,"Yes"))</f>
        <v/>
      </c>
      <c r="R60" s="12">
        <f>IF(AND(A60&lt;&gt;"",COUNTIF($A$6:$A$205,A60)=1,COUNTIF('Test Cases'!$A$6:$A$205,B60)=1,I60&lt;&gt;"",J60&lt;&gt;"",OR(K60="Answered",K60="Clarification",K60="Abstained"),X60="Yes",T60&lt;&gt;"",O60&gt;0,Q60=0),P60/MAX(1,O60),"")</f>
        <v/>
      </c>
      <c r="S60" s="11">
        <f>IF(A60="","",IF(AND(J60="",K60=""),"Pending",IF(COUNTIF($A$6:$A$205,A60)&lt;&gt;1,"Duplicate Run ID",IF(COUNTIF('Test Cases'!$A$6:$A$205,B60)&lt;&gt;1,"Check Test ID",IF(K60="Error","FAIL",IF(OR(I60="",J60=""),"Needs evidence / answer",IF(NOT(OR(K60="Answered",K60="Clarification",K60="Abstained")),"Choose outcome",IF(X60&lt;&gt;"Yes","Confirm claim inventory",IF(AND(K60="Answered",O60=0),"Needs claims",IF(Q60&gt;0,"Needs claim review",IF(OR(NOT(OR(L60="Yes",L60="No")),T60=""),"Needs response review",IF(OR(L60="No",M60&gt;0,N60&gt;0,AND(ISNUMBER(R60),R60&lt;Dashboard!$B$5)),"FAIL","PASS"))))))))))))</f>
        <v/>
      </c>
      <c r="V60" s="11">
        <f>IF(B60="","",IFERROR(VLOOKUP(B60,'Test Cases'!$A$6:$J$205,7,FALSE),"Unknown Test ID"))</f>
        <v/>
      </c>
      <c r="W60" s="11">
        <f>IF(B60="","",IFERROR(VLOOKUP(B60,'Test Cases'!$A$6:$J$205,8,FALSE),"Unknown Test ID"))</f>
        <v/>
      </c>
    </row>
    <row r="61" spans="3:23">
      <c r="C61" s="11">
        <f>IF(B61="","",IFERROR(VLOOKUP(B61,'Test Cases'!$A$6:$J$205,2,FALSE),"Unknown Test ID"))</f>
        <v/>
      </c>
      <c r="D61" s="11">
        <f>IF(B61="","",IFERROR(VLOOKUP(B61,'Test Cases'!$A$6:$J$205,5,FALSE),"Unknown Test ID"))</f>
        <v/>
      </c>
      <c r="M61" s="11">
        <f>IF(A61="","",COUNTIFS('Claim Review'!$A$6:$A$2005,A61,'Claim Review'!$C$6:$C$2005,"&lt;&gt;",'Claim Review'!$G$6:$G$2005,"Wrong citation")+COUNTIFS('Claim Review'!$A$6:$A$2005,A61,'Claim Review'!$C$6:$C$2005,"&lt;&gt;",'Claim Review'!$G$6:$G$2005,"Missing citation"))</f>
        <v/>
      </c>
      <c r="N61" s="11">
        <f>IF(A61="","",COUNTIFS('Claim Review'!$A$6:$A$2005,A61,'Claim Review'!$C$6:$C$2005,"&lt;&gt;",'Claim Review'!$H$6:$H$2005,"Yes"))</f>
        <v/>
      </c>
      <c r="O61" s="11">
        <f>IF(A61="","",COUNTIFS('Claim Review'!$A$6:$A$2005,A61,'Claim Review'!$C$6:$C$2005,"&lt;&gt;"))</f>
        <v/>
      </c>
      <c r="P61" s="11">
        <f>IF(A61="","",COUNTIFS('Claim Review'!$A$6:$A$2005,A61,'Claim Review'!$C$6:$C$2005,"&lt;&gt;",'Claim Review'!$F$6:$F$2005,"Supported"))</f>
        <v/>
      </c>
      <c r="Q61" s="11">
        <f>IF(A61="","",O61-COUNTIFS('Claim Review'!$A$6:$A$2005,A61,'Claim Review'!$C$6:$C$2005,"&lt;&gt;",'Claim Review'!$K$6:$K$2005,"Yes"))</f>
        <v/>
      </c>
      <c r="R61" s="12">
        <f>IF(AND(A61&lt;&gt;"",COUNTIF($A$6:$A$205,A61)=1,COUNTIF('Test Cases'!$A$6:$A$205,B61)=1,I61&lt;&gt;"",J61&lt;&gt;"",OR(K61="Answered",K61="Clarification",K61="Abstained"),X61="Yes",T61&lt;&gt;"",O61&gt;0,Q61=0),P61/MAX(1,O61),"")</f>
        <v/>
      </c>
      <c r="S61" s="11">
        <f>IF(A61="","",IF(AND(J61="",K61=""),"Pending",IF(COUNTIF($A$6:$A$205,A61)&lt;&gt;1,"Duplicate Run ID",IF(COUNTIF('Test Cases'!$A$6:$A$205,B61)&lt;&gt;1,"Check Test ID",IF(K61="Error","FAIL",IF(OR(I61="",J61=""),"Needs evidence / answer",IF(NOT(OR(K61="Answered",K61="Clarification",K61="Abstained")),"Choose outcome",IF(X61&lt;&gt;"Yes","Confirm claim inventory",IF(AND(K61="Answered",O61=0),"Needs claims",IF(Q61&gt;0,"Needs claim review",IF(OR(NOT(OR(L61="Yes",L61="No")),T61=""),"Needs response review",IF(OR(L61="No",M61&gt;0,N61&gt;0,AND(ISNUMBER(R61),R61&lt;Dashboard!$B$5)),"FAIL","PASS"))))))))))))</f>
        <v/>
      </c>
      <c r="V61" s="11">
        <f>IF(B61="","",IFERROR(VLOOKUP(B61,'Test Cases'!$A$6:$J$205,7,FALSE),"Unknown Test ID"))</f>
        <v/>
      </c>
      <c r="W61" s="11">
        <f>IF(B61="","",IFERROR(VLOOKUP(B61,'Test Cases'!$A$6:$J$205,8,FALSE),"Unknown Test ID"))</f>
        <v/>
      </c>
    </row>
    <row r="62" spans="3:23">
      <c r="C62" s="11">
        <f>IF(B62="","",IFERROR(VLOOKUP(B62,'Test Cases'!$A$6:$J$205,2,FALSE),"Unknown Test ID"))</f>
        <v/>
      </c>
      <c r="D62" s="11">
        <f>IF(B62="","",IFERROR(VLOOKUP(B62,'Test Cases'!$A$6:$J$205,5,FALSE),"Unknown Test ID"))</f>
        <v/>
      </c>
      <c r="M62" s="11">
        <f>IF(A62="","",COUNTIFS('Claim Review'!$A$6:$A$2005,A62,'Claim Review'!$C$6:$C$2005,"&lt;&gt;",'Claim Review'!$G$6:$G$2005,"Wrong citation")+COUNTIFS('Claim Review'!$A$6:$A$2005,A62,'Claim Review'!$C$6:$C$2005,"&lt;&gt;",'Claim Review'!$G$6:$G$2005,"Missing citation"))</f>
        <v/>
      </c>
      <c r="N62" s="11">
        <f>IF(A62="","",COUNTIFS('Claim Review'!$A$6:$A$2005,A62,'Claim Review'!$C$6:$C$2005,"&lt;&gt;",'Claim Review'!$H$6:$H$2005,"Yes"))</f>
        <v/>
      </c>
      <c r="O62" s="11">
        <f>IF(A62="","",COUNTIFS('Claim Review'!$A$6:$A$2005,A62,'Claim Review'!$C$6:$C$2005,"&lt;&gt;"))</f>
        <v/>
      </c>
      <c r="P62" s="11">
        <f>IF(A62="","",COUNTIFS('Claim Review'!$A$6:$A$2005,A62,'Claim Review'!$C$6:$C$2005,"&lt;&gt;",'Claim Review'!$F$6:$F$2005,"Supported"))</f>
        <v/>
      </c>
      <c r="Q62" s="11">
        <f>IF(A62="","",O62-COUNTIFS('Claim Review'!$A$6:$A$2005,A62,'Claim Review'!$C$6:$C$2005,"&lt;&gt;",'Claim Review'!$K$6:$K$2005,"Yes"))</f>
        <v/>
      </c>
      <c r="R62" s="12">
        <f>IF(AND(A62&lt;&gt;"",COUNTIF($A$6:$A$205,A62)=1,COUNTIF('Test Cases'!$A$6:$A$205,B62)=1,I62&lt;&gt;"",J62&lt;&gt;"",OR(K62="Answered",K62="Clarification",K62="Abstained"),X62="Yes",T62&lt;&gt;"",O62&gt;0,Q62=0),P62/MAX(1,O62),"")</f>
        <v/>
      </c>
      <c r="S62" s="11">
        <f>IF(A62="","",IF(AND(J62="",K62=""),"Pending",IF(COUNTIF($A$6:$A$205,A62)&lt;&gt;1,"Duplicate Run ID",IF(COUNTIF('Test Cases'!$A$6:$A$205,B62)&lt;&gt;1,"Check Test ID",IF(K62="Error","FAIL",IF(OR(I62="",J62=""),"Needs evidence / answer",IF(NOT(OR(K62="Answered",K62="Clarification",K62="Abstained")),"Choose outcome",IF(X62&lt;&gt;"Yes","Confirm claim inventory",IF(AND(K62="Answered",O62=0),"Needs claims",IF(Q62&gt;0,"Needs claim review",IF(OR(NOT(OR(L62="Yes",L62="No")),T62=""),"Needs response review",IF(OR(L62="No",M62&gt;0,N62&gt;0,AND(ISNUMBER(R62),R62&lt;Dashboard!$B$5)),"FAIL","PASS"))))))))))))</f>
        <v/>
      </c>
      <c r="V62" s="11">
        <f>IF(B62="","",IFERROR(VLOOKUP(B62,'Test Cases'!$A$6:$J$205,7,FALSE),"Unknown Test ID"))</f>
        <v/>
      </c>
      <c r="W62" s="11">
        <f>IF(B62="","",IFERROR(VLOOKUP(B62,'Test Cases'!$A$6:$J$205,8,FALSE),"Unknown Test ID"))</f>
        <v/>
      </c>
    </row>
    <row r="63" spans="3:23">
      <c r="C63" s="11">
        <f>IF(B63="","",IFERROR(VLOOKUP(B63,'Test Cases'!$A$6:$J$205,2,FALSE),"Unknown Test ID"))</f>
        <v/>
      </c>
      <c r="D63" s="11">
        <f>IF(B63="","",IFERROR(VLOOKUP(B63,'Test Cases'!$A$6:$J$205,5,FALSE),"Unknown Test ID"))</f>
        <v/>
      </c>
      <c r="M63" s="11">
        <f>IF(A63="","",COUNTIFS('Claim Review'!$A$6:$A$2005,A63,'Claim Review'!$C$6:$C$2005,"&lt;&gt;",'Claim Review'!$G$6:$G$2005,"Wrong citation")+COUNTIFS('Claim Review'!$A$6:$A$2005,A63,'Claim Review'!$C$6:$C$2005,"&lt;&gt;",'Claim Review'!$G$6:$G$2005,"Missing citation"))</f>
        <v/>
      </c>
      <c r="N63" s="11">
        <f>IF(A63="","",COUNTIFS('Claim Review'!$A$6:$A$2005,A63,'Claim Review'!$C$6:$C$2005,"&lt;&gt;",'Claim Review'!$H$6:$H$2005,"Yes"))</f>
        <v/>
      </c>
      <c r="O63" s="11">
        <f>IF(A63="","",COUNTIFS('Claim Review'!$A$6:$A$2005,A63,'Claim Review'!$C$6:$C$2005,"&lt;&gt;"))</f>
        <v/>
      </c>
      <c r="P63" s="11">
        <f>IF(A63="","",COUNTIFS('Claim Review'!$A$6:$A$2005,A63,'Claim Review'!$C$6:$C$2005,"&lt;&gt;",'Claim Review'!$F$6:$F$2005,"Supported"))</f>
        <v/>
      </c>
      <c r="Q63" s="11">
        <f>IF(A63="","",O63-COUNTIFS('Claim Review'!$A$6:$A$2005,A63,'Claim Review'!$C$6:$C$2005,"&lt;&gt;",'Claim Review'!$K$6:$K$2005,"Yes"))</f>
        <v/>
      </c>
      <c r="R63" s="12">
        <f>IF(AND(A63&lt;&gt;"",COUNTIF($A$6:$A$205,A63)=1,COUNTIF('Test Cases'!$A$6:$A$205,B63)=1,I63&lt;&gt;"",J63&lt;&gt;"",OR(K63="Answered",K63="Clarification",K63="Abstained"),X63="Yes",T63&lt;&gt;"",O63&gt;0,Q63=0),P63/MAX(1,O63),"")</f>
        <v/>
      </c>
      <c r="S63" s="11">
        <f>IF(A63="","",IF(AND(J63="",K63=""),"Pending",IF(COUNTIF($A$6:$A$205,A63)&lt;&gt;1,"Duplicate Run ID",IF(COUNTIF('Test Cases'!$A$6:$A$205,B63)&lt;&gt;1,"Check Test ID",IF(K63="Error","FAIL",IF(OR(I63="",J63=""),"Needs evidence / answer",IF(NOT(OR(K63="Answered",K63="Clarification",K63="Abstained")),"Choose outcome",IF(X63&lt;&gt;"Yes","Confirm claim inventory",IF(AND(K63="Answered",O63=0),"Needs claims",IF(Q63&gt;0,"Needs claim review",IF(OR(NOT(OR(L63="Yes",L63="No")),T63=""),"Needs response review",IF(OR(L63="No",M63&gt;0,N63&gt;0,AND(ISNUMBER(R63),R63&lt;Dashboard!$B$5)),"FAIL","PASS"))))))))))))</f>
        <v/>
      </c>
      <c r="V63" s="11">
        <f>IF(B63="","",IFERROR(VLOOKUP(B63,'Test Cases'!$A$6:$J$205,7,FALSE),"Unknown Test ID"))</f>
        <v/>
      </c>
      <c r="W63" s="11">
        <f>IF(B63="","",IFERROR(VLOOKUP(B63,'Test Cases'!$A$6:$J$205,8,FALSE),"Unknown Test ID"))</f>
        <v/>
      </c>
    </row>
    <row r="64" spans="3:23">
      <c r="C64" s="11">
        <f>IF(B64="","",IFERROR(VLOOKUP(B64,'Test Cases'!$A$6:$J$205,2,FALSE),"Unknown Test ID"))</f>
        <v/>
      </c>
      <c r="D64" s="11">
        <f>IF(B64="","",IFERROR(VLOOKUP(B64,'Test Cases'!$A$6:$J$205,5,FALSE),"Unknown Test ID"))</f>
        <v/>
      </c>
      <c r="M64" s="11">
        <f>IF(A64="","",COUNTIFS('Claim Review'!$A$6:$A$2005,A64,'Claim Review'!$C$6:$C$2005,"&lt;&gt;",'Claim Review'!$G$6:$G$2005,"Wrong citation")+COUNTIFS('Claim Review'!$A$6:$A$2005,A64,'Claim Review'!$C$6:$C$2005,"&lt;&gt;",'Claim Review'!$G$6:$G$2005,"Missing citation"))</f>
        <v/>
      </c>
      <c r="N64" s="11">
        <f>IF(A64="","",COUNTIFS('Claim Review'!$A$6:$A$2005,A64,'Claim Review'!$C$6:$C$2005,"&lt;&gt;",'Claim Review'!$H$6:$H$2005,"Yes"))</f>
        <v/>
      </c>
      <c r="O64" s="11">
        <f>IF(A64="","",COUNTIFS('Claim Review'!$A$6:$A$2005,A64,'Claim Review'!$C$6:$C$2005,"&lt;&gt;"))</f>
        <v/>
      </c>
      <c r="P64" s="11">
        <f>IF(A64="","",COUNTIFS('Claim Review'!$A$6:$A$2005,A64,'Claim Review'!$C$6:$C$2005,"&lt;&gt;",'Claim Review'!$F$6:$F$2005,"Supported"))</f>
        <v/>
      </c>
      <c r="Q64" s="11">
        <f>IF(A64="","",O64-COUNTIFS('Claim Review'!$A$6:$A$2005,A64,'Claim Review'!$C$6:$C$2005,"&lt;&gt;",'Claim Review'!$K$6:$K$2005,"Yes"))</f>
        <v/>
      </c>
      <c r="R64" s="12">
        <f>IF(AND(A64&lt;&gt;"",COUNTIF($A$6:$A$205,A64)=1,COUNTIF('Test Cases'!$A$6:$A$205,B64)=1,I64&lt;&gt;"",J64&lt;&gt;"",OR(K64="Answered",K64="Clarification",K64="Abstained"),X64="Yes",T64&lt;&gt;"",O64&gt;0,Q64=0),P64/MAX(1,O64),"")</f>
        <v/>
      </c>
      <c r="S64" s="11">
        <f>IF(A64="","",IF(AND(J64="",K64=""),"Pending",IF(COUNTIF($A$6:$A$205,A64)&lt;&gt;1,"Duplicate Run ID",IF(COUNTIF('Test Cases'!$A$6:$A$205,B64)&lt;&gt;1,"Check Test ID",IF(K64="Error","FAIL",IF(OR(I64="",J64=""),"Needs evidence / answer",IF(NOT(OR(K64="Answered",K64="Clarification",K64="Abstained")),"Choose outcome",IF(X64&lt;&gt;"Yes","Confirm claim inventory",IF(AND(K64="Answered",O64=0),"Needs claims",IF(Q64&gt;0,"Needs claim review",IF(OR(NOT(OR(L64="Yes",L64="No")),T64=""),"Needs response review",IF(OR(L64="No",M64&gt;0,N64&gt;0,AND(ISNUMBER(R64),R64&lt;Dashboard!$B$5)),"FAIL","PASS"))))))))))))</f>
        <v/>
      </c>
      <c r="V64" s="11">
        <f>IF(B64="","",IFERROR(VLOOKUP(B64,'Test Cases'!$A$6:$J$205,7,FALSE),"Unknown Test ID"))</f>
        <v/>
      </c>
      <c r="W64" s="11">
        <f>IF(B64="","",IFERROR(VLOOKUP(B64,'Test Cases'!$A$6:$J$205,8,FALSE),"Unknown Test ID"))</f>
        <v/>
      </c>
    </row>
    <row r="65" spans="3:23">
      <c r="C65" s="11">
        <f>IF(B65="","",IFERROR(VLOOKUP(B65,'Test Cases'!$A$6:$J$205,2,FALSE),"Unknown Test ID"))</f>
        <v/>
      </c>
      <c r="D65" s="11">
        <f>IF(B65="","",IFERROR(VLOOKUP(B65,'Test Cases'!$A$6:$J$205,5,FALSE),"Unknown Test ID"))</f>
        <v/>
      </c>
      <c r="M65" s="11">
        <f>IF(A65="","",COUNTIFS('Claim Review'!$A$6:$A$2005,A65,'Claim Review'!$C$6:$C$2005,"&lt;&gt;",'Claim Review'!$G$6:$G$2005,"Wrong citation")+COUNTIFS('Claim Review'!$A$6:$A$2005,A65,'Claim Review'!$C$6:$C$2005,"&lt;&gt;",'Claim Review'!$G$6:$G$2005,"Missing citation"))</f>
        <v/>
      </c>
      <c r="N65" s="11">
        <f>IF(A65="","",COUNTIFS('Claim Review'!$A$6:$A$2005,A65,'Claim Review'!$C$6:$C$2005,"&lt;&gt;",'Claim Review'!$H$6:$H$2005,"Yes"))</f>
        <v/>
      </c>
      <c r="O65" s="11">
        <f>IF(A65="","",COUNTIFS('Claim Review'!$A$6:$A$2005,A65,'Claim Review'!$C$6:$C$2005,"&lt;&gt;"))</f>
        <v/>
      </c>
      <c r="P65" s="11">
        <f>IF(A65="","",COUNTIFS('Claim Review'!$A$6:$A$2005,A65,'Claim Review'!$C$6:$C$2005,"&lt;&gt;",'Claim Review'!$F$6:$F$2005,"Supported"))</f>
        <v/>
      </c>
      <c r="Q65" s="11">
        <f>IF(A65="","",O65-COUNTIFS('Claim Review'!$A$6:$A$2005,A65,'Claim Review'!$C$6:$C$2005,"&lt;&gt;",'Claim Review'!$K$6:$K$2005,"Yes"))</f>
        <v/>
      </c>
      <c r="R65" s="12">
        <f>IF(AND(A65&lt;&gt;"",COUNTIF($A$6:$A$205,A65)=1,COUNTIF('Test Cases'!$A$6:$A$205,B65)=1,I65&lt;&gt;"",J65&lt;&gt;"",OR(K65="Answered",K65="Clarification",K65="Abstained"),X65="Yes",T65&lt;&gt;"",O65&gt;0,Q65=0),P65/MAX(1,O65),"")</f>
        <v/>
      </c>
      <c r="S65" s="11">
        <f>IF(A65="","",IF(AND(J65="",K65=""),"Pending",IF(COUNTIF($A$6:$A$205,A65)&lt;&gt;1,"Duplicate Run ID",IF(COUNTIF('Test Cases'!$A$6:$A$205,B65)&lt;&gt;1,"Check Test ID",IF(K65="Error","FAIL",IF(OR(I65="",J65=""),"Needs evidence / answer",IF(NOT(OR(K65="Answered",K65="Clarification",K65="Abstained")),"Choose outcome",IF(X65&lt;&gt;"Yes","Confirm claim inventory",IF(AND(K65="Answered",O65=0),"Needs claims",IF(Q65&gt;0,"Needs claim review",IF(OR(NOT(OR(L65="Yes",L65="No")),T65=""),"Needs response review",IF(OR(L65="No",M65&gt;0,N65&gt;0,AND(ISNUMBER(R65),R65&lt;Dashboard!$B$5)),"FAIL","PASS"))))))))))))</f>
        <v/>
      </c>
      <c r="V65" s="11">
        <f>IF(B65="","",IFERROR(VLOOKUP(B65,'Test Cases'!$A$6:$J$205,7,FALSE),"Unknown Test ID"))</f>
        <v/>
      </c>
      <c r="W65" s="11">
        <f>IF(B65="","",IFERROR(VLOOKUP(B65,'Test Cases'!$A$6:$J$205,8,FALSE),"Unknown Test ID"))</f>
        <v/>
      </c>
    </row>
    <row r="66" spans="3:23">
      <c r="C66" s="11">
        <f>IF(B66="","",IFERROR(VLOOKUP(B66,'Test Cases'!$A$6:$J$205,2,FALSE),"Unknown Test ID"))</f>
        <v/>
      </c>
      <c r="D66" s="11">
        <f>IF(B66="","",IFERROR(VLOOKUP(B66,'Test Cases'!$A$6:$J$205,5,FALSE),"Unknown Test ID"))</f>
        <v/>
      </c>
      <c r="M66" s="11">
        <f>IF(A66="","",COUNTIFS('Claim Review'!$A$6:$A$2005,A66,'Claim Review'!$C$6:$C$2005,"&lt;&gt;",'Claim Review'!$G$6:$G$2005,"Wrong citation")+COUNTIFS('Claim Review'!$A$6:$A$2005,A66,'Claim Review'!$C$6:$C$2005,"&lt;&gt;",'Claim Review'!$G$6:$G$2005,"Missing citation"))</f>
        <v/>
      </c>
      <c r="N66" s="11">
        <f>IF(A66="","",COUNTIFS('Claim Review'!$A$6:$A$2005,A66,'Claim Review'!$C$6:$C$2005,"&lt;&gt;",'Claim Review'!$H$6:$H$2005,"Yes"))</f>
        <v/>
      </c>
      <c r="O66" s="11">
        <f>IF(A66="","",COUNTIFS('Claim Review'!$A$6:$A$2005,A66,'Claim Review'!$C$6:$C$2005,"&lt;&gt;"))</f>
        <v/>
      </c>
      <c r="P66" s="11">
        <f>IF(A66="","",COUNTIFS('Claim Review'!$A$6:$A$2005,A66,'Claim Review'!$C$6:$C$2005,"&lt;&gt;",'Claim Review'!$F$6:$F$2005,"Supported"))</f>
        <v/>
      </c>
      <c r="Q66" s="11">
        <f>IF(A66="","",O66-COUNTIFS('Claim Review'!$A$6:$A$2005,A66,'Claim Review'!$C$6:$C$2005,"&lt;&gt;",'Claim Review'!$K$6:$K$2005,"Yes"))</f>
        <v/>
      </c>
      <c r="R66" s="12">
        <f>IF(AND(A66&lt;&gt;"",COUNTIF($A$6:$A$205,A66)=1,COUNTIF('Test Cases'!$A$6:$A$205,B66)=1,I66&lt;&gt;"",J66&lt;&gt;"",OR(K66="Answered",K66="Clarification",K66="Abstained"),X66="Yes",T66&lt;&gt;"",O66&gt;0,Q66=0),P66/MAX(1,O66),"")</f>
        <v/>
      </c>
      <c r="S66" s="11">
        <f>IF(A66="","",IF(AND(J66="",K66=""),"Pending",IF(COUNTIF($A$6:$A$205,A66)&lt;&gt;1,"Duplicate Run ID",IF(COUNTIF('Test Cases'!$A$6:$A$205,B66)&lt;&gt;1,"Check Test ID",IF(K66="Error","FAIL",IF(OR(I66="",J66=""),"Needs evidence / answer",IF(NOT(OR(K66="Answered",K66="Clarification",K66="Abstained")),"Choose outcome",IF(X66&lt;&gt;"Yes","Confirm claim inventory",IF(AND(K66="Answered",O66=0),"Needs claims",IF(Q66&gt;0,"Needs claim review",IF(OR(NOT(OR(L66="Yes",L66="No")),T66=""),"Needs response review",IF(OR(L66="No",M66&gt;0,N66&gt;0,AND(ISNUMBER(R66),R66&lt;Dashboard!$B$5)),"FAIL","PASS"))))))))))))</f>
        <v/>
      </c>
      <c r="V66" s="11">
        <f>IF(B66="","",IFERROR(VLOOKUP(B66,'Test Cases'!$A$6:$J$205,7,FALSE),"Unknown Test ID"))</f>
        <v/>
      </c>
      <c r="W66" s="11">
        <f>IF(B66="","",IFERROR(VLOOKUP(B66,'Test Cases'!$A$6:$J$205,8,FALSE),"Unknown Test ID"))</f>
        <v/>
      </c>
    </row>
    <row r="67" spans="3:23">
      <c r="C67" s="11">
        <f>IF(B67="","",IFERROR(VLOOKUP(B67,'Test Cases'!$A$6:$J$205,2,FALSE),"Unknown Test ID"))</f>
        <v/>
      </c>
      <c r="D67" s="11">
        <f>IF(B67="","",IFERROR(VLOOKUP(B67,'Test Cases'!$A$6:$J$205,5,FALSE),"Unknown Test ID"))</f>
        <v/>
      </c>
      <c r="M67" s="11">
        <f>IF(A67="","",COUNTIFS('Claim Review'!$A$6:$A$2005,A67,'Claim Review'!$C$6:$C$2005,"&lt;&gt;",'Claim Review'!$G$6:$G$2005,"Wrong citation")+COUNTIFS('Claim Review'!$A$6:$A$2005,A67,'Claim Review'!$C$6:$C$2005,"&lt;&gt;",'Claim Review'!$G$6:$G$2005,"Missing citation"))</f>
        <v/>
      </c>
      <c r="N67" s="11">
        <f>IF(A67="","",COUNTIFS('Claim Review'!$A$6:$A$2005,A67,'Claim Review'!$C$6:$C$2005,"&lt;&gt;",'Claim Review'!$H$6:$H$2005,"Yes"))</f>
        <v/>
      </c>
      <c r="O67" s="11">
        <f>IF(A67="","",COUNTIFS('Claim Review'!$A$6:$A$2005,A67,'Claim Review'!$C$6:$C$2005,"&lt;&gt;"))</f>
        <v/>
      </c>
      <c r="P67" s="11">
        <f>IF(A67="","",COUNTIFS('Claim Review'!$A$6:$A$2005,A67,'Claim Review'!$C$6:$C$2005,"&lt;&gt;",'Claim Review'!$F$6:$F$2005,"Supported"))</f>
        <v/>
      </c>
      <c r="Q67" s="11">
        <f>IF(A67="","",O67-COUNTIFS('Claim Review'!$A$6:$A$2005,A67,'Claim Review'!$C$6:$C$2005,"&lt;&gt;",'Claim Review'!$K$6:$K$2005,"Yes"))</f>
        <v/>
      </c>
      <c r="R67" s="12">
        <f>IF(AND(A67&lt;&gt;"",COUNTIF($A$6:$A$205,A67)=1,COUNTIF('Test Cases'!$A$6:$A$205,B67)=1,I67&lt;&gt;"",J67&lt;&gt;"",OR(K67="Answered",K67="Clarification",K67="Abstained"),X67="Yes",T67&lt;&gt;"",O67&gt;0,Q67=0),P67/MAX(1,O67),"")</f>
        <v/>
      </c>
      <c r="S67" s="11">
        <f>IF(A67="","",IF(AND(J67="",K67=""),"Pending",IF(COUNTIF($A$6:$A$205,A67)&lt;&gt;1,"Duplicate Run ID",IF(COUNTIF('Test Cases'!$A$6:$A$205,B67)&lt;&gt;1,"Check Test ID",IF(K67="Error","FAIL",IF(OR(I67="",J67=""),"Needs evidence / answer",IF(NOT(OR(K67="Answered",K67="Clarification",K67="Abstained")),"Choose outcome",IF(X67&lt;&gt;"Yes","Confirm claim inventory",IF(AND(K67="Answered",O67=0),"Needs claims",IF(Q67&gt;0,"Needs claim review",IF(OR(NOT(OR(L67="Yes",L67="No")),T67=""),"Needs response review",IF(OR(L67="No",M67&gt;0,N67&gt;0,AND(ISNUMBER(R67),R67&lt;Dashboard!$B$5)),"FAIL","PASS"))))))))))))</f>
        <v/>
      </c>
      <c r="V67" s="11">
        <f>IF(B67="","",IFERROR(VLOOKUP(B67,'Test Cases'!$A$6:$J$205,7,FALSE),"Unknown Test ID"))</f>
        <v/>
      </c>
      <c r="W67" s="11">
        <f>IF(B67="","",IFERROR(VLOOKUP(B67,'Test Cases'!$A$6:$J$205,8,FALSE),"Unknown Test ID"))</f>
        <v/>
      </c>
    </row>
    <row r="68" spans="3:23">
      <c r="C68" s="11">
        <f>IF(B68="","",IFERROR(VLOOKUP(B68,'Test Cases'!$A$6:$J$205,2,FALSE),"Unknown Test ID"))</f>
        <v/>
      </c>
      <c r="D68" s="11">
        <f>IF(B68="","",IFERROR(VLOOKUP(B68,'Test Cases'!$A$6:$J$205,5,FALSE),"Unknown Test ID"))</f>
        <v/>
      </c>
      <c r="M68" s="11">
        <f>IF(A68="","",COUNTIFS('Claim Review'!$A$6:$A$2005,A68,'Claim Review'!$C$6:$C$2005,"&lt;&gt;",'Claim Review'!$G$6:$G$2005,"Wrong citation")+COUNTIFS('Claim Review'!$A$6:$A$2005,A68,'Claim Review'!$C$6:$C$2005,"&lt;&gt;",'Claim Review'!$G$6:$G$2005,"Missing citation"))</f>
        <v/>
      </c>
      <c r="N68" s="11">
        <f>IF(A68="","",COUNTIFS('Claim Review'!$A$6:$A$2005,A68,'Claim Review'!$C$6:$C$2005,"&lt;&gt;",'Claim Review'!$H$6:$H$2005,"Yes"))</f>
        <v/>
      </c>
      <c r="O68" s="11">
        <f>IF(A68="","",COUNTIFS('Claim Review'!$A$6:$A$2005,A68,'Claim Review'!$C$6:$C$2005,"&lt;&gt;"))</f>
        <v/>
      </c>
      <c r="P68" s="11">
        <f>IF(A68="","",COUNTIFS('Claim Review'!$A$6:$A$2005,A68,'Claim Review'!$C$6:$C$2005,"&lt;&gt;",'Claim Review'!$F$6:$F$2005,"Supported"))</f>
        <v/>
      </c>
      <c r="Q68" s="11">
        <f>IF(A68="","",O68-COUNTIFS('Claim Review'!$A$6:$A$2005,A68,'Claim Review'!$C$6:$C$2005,"&lt;&gt;",'Claim Review'!$K$6:$K$2005,"Yes"))</f>
        <v/>
      </c>
      <c r="R68" s="12">
        <f>IF(AND(A68&lt;&gt;"",COUNTIF($A$6:$A$205,A68)=1,COUNTIF('Test Cases'!$A$6:$A$205,B68)=1,I68&lt;&gt;"",J68&lt;&gt;"",OR(K68="Answered",K68="Clarification",K68="Abstained"),X68="Yes",T68&lt;&gt;"",O68&gt;0,Q68=0),P68/MAX(1,O68),"")</f>
        <v/>
      </c>
      <c r="S68" s="11">
        <f>IF(A68="","",IF(AND(J68="",K68=""),"Pending",IF(COUNTIF($A$6:$A$205,A68)&lt;&gt;1,"Duplicate Run ID",IF(COUNTIF('Test Cases'!$A$6:$A$205,B68)&lt;&gt;1,"Check Test ID",IF(K68="Error","FAIL",IF(OR(I68="",J68=""),"Needs evidence / answer",IF(NOT(OR(K68="Answered",K68="Clarification",K68="Abstained")),"Choose outcome",IF(X68&lt;&gt;"Yes","Confirm claim inventory",IF(AND(K68="Answered",O68=0),"Needs claims",IF(Q68&gt;0,"Needs claim review",IF(OR(NOT(OR(L68="Yes",L68="No")),T68=""),"Needs response review",IF(OR(L68="No",M68&gt;0,N68&gt;0,AND(ISNUMBER(R68),R68&lt;Dashboard!$B$5)),"FAIL","PASS"))))))))))))</f>
        <v/>
      </c>
      <c r="V68" s="11">
        <f>IF(B68="","",IFERROR(VLOOKUP(B68,'Test Cases'!$A$6:$J$205,7,FALSE),"Unknown Test ID"))</f>
        <v/>
      </c>
      <c r="W68" s="11">
        <f>IF(B68="","",IFERROR(VLOOKUP(B68,'Test Cases'!$A$6:$J$205,8,FALSE),"Unknown Test ID"))</f>
        <v/>
      </c>
    </row>
    <row r="69" spans="3:23">
      <c r="C69" s="11">
        <f>IF(B69="","",IFERROR(VLOOKUP(B69,'Test Cases'!$A$6:$J$205,2,FALSE),"Unknown Test ID"))</f>
        <v/>
      </c>
      <c r="D69" s="11">
        <f>IF(B69="","",IFERROR(VLOOKUP(B69,'Test Cases'!$A$6:$J$205,5,FALSE),"Unknown Test ID"))</f>
        <v/>
      </c>
      <c r="M69" s="11">
        <f>IF(A69="","",COUNTIFS('Claim Review'!$A$6:$A$2005,A69,'Claim Review'!$C$6:$C$2005,"&lt;&gt;",'Claim Review'!$G$6:$G$2005,"Wrong citation")+COUNTIFS('Claim Review'!$A$6:$A$2005,A69,'Claim Review'!$C$6:$C$2005,"&lt;&gt;",'Claim Review'!$G$6:$G$2005,"Missing citation"))</f>
        <v/>
      </c>
      <c r="N69" s="11">
        <f>IF(A69="","",COUNTIFS('Claim Review'!$A$6:$A$2005,A69,'Claim Review'!$C$6:$C$2005,"&lt;&gt;",'Claim Review'!$H$6:$H$2005,"Yes"))</f>
        <v/>
      </c>
      <c r="O69" s="11">
        <f>IF(A69="","",COUNTIFS('Claim Review'!$A$6:$A$2005,A69,'Claim Review'!$C$6:$C$2005,"&lt;&gt;"))</f>
        <v/>
      </c>
      <c r="P69" s="11">
        <f>IF(A69="","",COUNTIFS('Claim Review'!$A$6:$A$2005,A69,'Claim Review'!$C$6:$C$2005,"&lt;&gt;",'Claim Review'!$F$6:$F$2005,"Supported"))</f>
        <v/>
      </c>
      <c r="Q69" s="11">
        <f>IF(A69="","",O69-COUNTIFS('Claim Review'!$A$6:$A$2005,A69,'Claim Review'!$C$6:$C$2005,"&lt;&gt;",'Claim Review'!$K$6:$K$2005,"Yes"))</f>
        <v/>
      </c>
      <c r="R69" s="12">
        <f>IF(AND(A69&lt;&gt;"",COUNTIF($A$6:$A$205,A69)=1,COUNTIF('Test Cases'!$A$6:$A$205,B69)=1,I69&lt;&gt;"",J69&lt;&gt;"",OR(K69="Answered",K69="Clarification",K69="Abstained"),X69="Yes",T69&lt;&gt;"",O69&gt;0,Q69=0),P69/MAX(1,O69),"")</f>
        <v/>
      </c>
      <c r="S69" s="11">
        <f>IF(A69="","",IF(AND(J69="",K69=""),"Pending",IF(COUNTIF($A$6:$A$205,A69)&lt;&gt;1,"Duplicate Run ID",IF(COUNTIF('Test Cases'!$A$6:$A$205,B69)&lt;&gt;1,"Check Test ID",IF(K69="Error","FAIL",IF(OR(I69="",J69=""),"Needs evidence / answer",IF(NOT(OR(K69="Answered",K69="Clarification",K69="Abstained")),"Choose outcome",IF(X69&lt;&gt;"Yes","Confirm claim inventory",IF(AND(K69="Answered",O69=0),"Needs claims",IF(Q69&gt;0,"Needs claim review",IF(OR(NOT(OR(L69="Yes",L69="No")),T69=""),"Needs response review",IF(OR(L69="No",M69&gt;0,N69&gt;0,AND(ISNUMBER(R69),R69&lt;Dashboard!$B$5)),"FAIL","PASS"))))))))))))</f>
        <v/>
      </c>
      <c r="V69" s="11">
        <f>IF(B69="","",IFERROR(VLOOKUP(B69,'Test Cases'!$A$6:$J$205,7,FALSE),"Unknown Test ID"))</f>
        <v/>
      </c>
      <c r="W69" s="11">
        <f>IF(B69="","",IFERROR(VLOOKUP(B69,'Test Cases'!$A$6:$J$205,8,FALSE),"Unknown Test ID"))</f>
        <v/>
      </c>
    </row>
    <row r="70" spans="3:23">
      <c r="C70" s="11">
        <f>IF(B70="","",IFERROR(VLOOKUP(B70,'Test Cases'!$A$6:$J$205,2,FALSE),"Unknown Test ID"))</f>
        <v/>
      </c>
      <c r="D70" s="11">
        <f>IF(B70="","",IFERROR(VLOOKUP(B70,'Test Cases'!$A$6:$J$205,5,FALSE),"Unknown Test ID"))</f>
        <v/>
      </c>
      <c r="M70" s="11">
        <f>IF(A70="","",COUNTIFS('Claim Review'!$A$6:$A$2005,A70,'Claim Review'!$C$6:$C$2005,"&lt;&gt;",'Claim Review'!$G$6:$G$2005,"Wrong citation")+COUNTIFS('Claim Review'!$A$6:$A$2005,A70,'Claim Review'!$C$6:$C$2005,"&lt;&gt;",'Claim Review'!$G$6:$G$2005,"Missing citation"))</f>
        <v/>
      </c>
      <c r="N70" s="11">
        <f>IF(A70="","",COUNTIFS('Claim Review'!$A$6:$A$2005,A70,'Claim Review'!$C$6:$C$2005,"&lt;&gt;",'Claim Review'!$H$6:$H$2005,"Yes"))</f>
        <v/>
      </c>
      <c r="O70" s="11">
        <f>IF(A70="","",COUNTIFS('Claim Review'!$A$6:$A$2005,A70,'Claim Review'!$C$6:$C$2005,"&lt;&gt;"))</f>
        <v/>
      </c>
      <c r="P70" s="11">
        <f>IF(A70="","",COUNTIFS('Claim Review'!$A$6:$A$2005,A70,'Claim Review'!$C$6:$C$2005,"&lt;&gt;",'Claim Review'!$F$6:$F$2005,"Supported"))</f>
        <v/>
      </c>
      <c r="Q70" s="11">
        <f>IF(A70="","",O70-COUNTIFS('Claim Review'!$A$6:$A$2005,A70,'Claim Review'!$C$6:$C$2005,"&lt;&gt;",'Claim Review'!$K$6:$K$2005,"Yes"))</f>
        <v/>
      </c>
      <c r="R70" s="12">
        <f>IF(AND(A70&lt;&gt;"",COUNTIF($A$6:$A$205,A70)=1,COUNTIF('Test Cases'!$A$6:$A$205,B70)=1,I70&lt;&gt;"",J70&lt;&gt;"",OR(K70="Answered",K70="Clarification",K70="Abstained"),X70="Yes",T70&lt;&gt;"",O70&gt;0,Q70=0),P70/MAX(1,O70),"")</f>
        <v/>
      </c>
      <c r="S70" s="11">
        <f>IF(A70="","",IF(AND(J70="",K70=""),"Pending",IF(COUNTIF($A$6:$A$205,A70)&lt;&gt;1,"Duplicate Run ID",IF(COUNTIF('Test Cases'!$A$6:$A$205,B70)&lt;&gt;1,"Check Test ID",IF(K70="Error","FAIL",IF(OR(I70="",J70=""),"Needs evidence / answer",IF(NOT(OR(K70="Answered",K70="Clarification",K70="Abstained")),"Choose outcome",IF(X70&lt;&gt;"Yes","Confirm claim inventory",IF(AND(K70="Answered",O70=0),"Needs claims",IF(Q70&gt;0,"Needs claim review",IF(OR(NOT(OR(L70="Yes",L70="No")),T70=""),"Needs response review",IF(OR(L70="No",M70&gt;0,N70&gt;0,AND(ISNUMBER(R70),R70&lt;Dashboard!$B$5)),"FAIL","PASS"))))))))))))</f>
        <v/>
      </c>
      <c r="V70" s="11">
        <f>IF(B70="","",IFERROR(VLOOKUP(B70,'Test Cases'!$A$6:$J$205,7,FALSE),"Unknown Test ID"))</f>
        <v/>
      </c>
      <c r="W70" s="11">
        <f>IF(B70="","",IFERROR(VLOOKUP(B70,'Test Cases'!$A$6:$J$205,8,FALSE),"Unknown Test ID"))</f>
        <v/>
      </c>
    </row>
    <row r="71" spans="3:23">
      <c r="C71" s="11">
        <f>IF(B71="","",IFERROR(VLOOKUP(B71,'Test Cases'!$A$6:$J$205,2,FALSE),"Unknown Test ID"))</f>
        <v/>
      </c>
      <c r="D71" s="11">
        <f>IF(B71="","",IFERROR(VLOOKUP(B71,'Test Cases'!$A$6:$J$205,5,FALSE),"Unknown Test ID"))</f>
        <v/>
      </c>
      <c r="M71" s="11">
        <f>IF(A71="","",COUNTIFS('Claim Review'!$A$6:$A$2005,A71,'Claim Review'!$C$6:$C$2005,"&lt;&gt;",'Claim Review'!$G$6:$G$2005,"Wrong citation")+COUNTIFS('Claim Review'!$A$6:$A$2005,A71,'Claim Review'!$C$6:$C$2005,"&lt;&gt;",'Claim Review'!$G$6:$G$2005,"Missing citation"))</f>
        <v/>
      </c>
      <c r="N71" s="11">
        <f>IF(A71="","",COUNTIFS('Claim Review'!$A$6:$A$2005,A71,'Claim Review'!$C$6:$C$2005,"&lt;&gt;",'Claim Review'!$H$6:$H$2005,"Yes"))</f>
        <v/>
      </c>
      <c r="O71" s="11">
        <f>IF(A71="","",COUNTIFS('Claim Review'!$A$6:$A$2005,A71,'Claim Review'!$C$6:$C$2005,"&lt;&gt;"))</f>
        <v/>
      </c>
      <c r="P71" s="11">
        <f>IF(A71="","",COUNTIFS('Claim Review'!$A$6:$A$2005,A71,'Claim Review'!$C$6:$C$2005,"&lt;&gt;",'Claim Review'!$F$6:$F$2005,"Supported"))</f>
        <v/>
      </c>
      <c r="Q71" s="11">
        <f>IF(A71="","",O71-COUNTIFS('Claim Review'!$A$6:$A$2005,A71,'Claim Review'!$C$6:$C$2005,"&lt;&gt;",'Claim Review'!$K$6:$K$2005,"Yes"))</f>
        <v/>
      </c>
      <c r="R71" s="12">
        <f>IF(AND(A71&lt;&gt;"",COUNTIF($A$6:$A$205,A71)=1,COUNTIF('Test Cases'!$A$6:$A$205,B71)=1,I71&lt;&gt;"",J71&lt;&gt;"",OR(K71="Answered",K71="Clarification",K71="Abstained"),X71="Yes",T71&lt;&gt;"",O71&gt;0,Q71=0),P71/MAX(1,O71),"")</f>
        <v/>
      </c>
      <c r="S71" s="11">
        <f>IF(A71="","",IF(AND(J71="",K71=""),"Pending",IF(COUNTIF($A$6:$A$205,A71)&lt;&gt;1,"Duplicate Run ID",IF(COUNTIF('Test Cases'!$A$6:$A$205,B71)&lt;&gt;1,"Check Test ID",IF(K71="Error","FAIL",IF(OR(I71="",J71=""),"Needs evidence / answer",IF(NOT(OR(K71="Answered",K71="Clarification",K71="Abstained")),"Choose outcome",IF(X71&lt;&gt;"Yes","Confirm claim inventory",IF(AND(K71="Answered",O71=0),"Needs claims",IF(Q71&gt;0,"Needs claim review",IF(OR(NOT(OR(L71="Yes",L71="No")),T71=""),"Needs response review",IF(OR(L71="No",M71&gt;0,N71&gt;0,AND(ISNUMBER(R71),R71&lt;Dashboard!$B$5)),"FAIL","PASS"))))))))))))</f>
        <v/>
      </c>
      <c r="V71" s="11">
        <f>IF(B71="","",IFERROR(VLOOKUP(B71,'Test Cases'!$A$6:$J$205,7,FALSE),"Unknown Test ID"))</f>
        <v/>
      </c>
      <c r="W71" s="11">
        <f>IF(B71="","",IFERROR(VLOOKUP(B71,'Test Cases'!$A$6:$J$205,8,FALSE),"Unknown Test ID"))</f>
        <v/>
      </c>
    </row>
    <row r="72" spans="3:23">
      <c r="C72" s="11">
        <f>IF(B72="","",IFERROR(VLOOKUP(B72,'Test Cases'!$A$6:$J$205,2,FALSE),"Unknown Test ID"))</f>
        <v/>
      </c>
      <c r="D72" s="11">
        <f>IF(B72="","",IFERROR(VLOOKUP(B72,'Test Cases'!$A$6:$J$205,5,FALSE),"Unknown Test ID"))</f>
        <v/>
      </c>
      <c r="M72" s="11">
        <f>IF(A72="","",COUNTIFS('Claim Review'!$A$6:$A$2005,A72,'Claim Review'!$C$6:$C$2005,"&lt;&gt;",'Claim Review'!$G$6:$G$2005,"Wrong citation")+COUNTIFS('Claim Review'!$A$6:$A$2005,A72,'Claim Review'!$C$6:$C$2005,"&lt;&gt;",'Claim Review'!$G$6:$G$2005,"Missing citation"))</f>
        <v/>
      </c>
      <c r="N72" s="11">
        <f>IF(A72="","",COUNTIFS('Claim Review'!$A$6:$A$2005,A72,'Claim Review'!$C$6:$C$2005,"&lt;&gt;",'Claim Review'!$H$6:$H$2005,"Yes"))</f>
        <v/>
      </c>
      <c r="O72" s="11">
        <f>IF(A72="","",COUNTIFS('Claim Review'!$A$6:$A$2005,A72,'Claim Review'!$C$6:$C$2005,"&lt;&gt;"))</f>
        <v/>
      </c>
      <c r="P72" s="11">
        <f>IF(A72="","",COUNTIFS('Claim Review'!$A$6:$A$2005,A72,'Claim Review'!$C$6:$C$2005,"&lt;&gt;",'Claim Review'!$F$6:$F$2005,"Supported"))</f>
        <v/>
      </c>
      <c r="Q72" s="11">
        <f>IF(A72="","",O72-COUNTIFS('Claim Review'!$A$6:$A$2005,A72,'Claim Review'!$C$6:$C$2005,"&lt;&gt;",'Claim Review'!$K$6:$K$2005,"Yes"))</f>
        <v/>
      </c>
      <c r="R72" s="12">
        <f>IF(AND(A72&lt;&gt;"",COUNTIF($A$6:$A$205,A72)=1,COUNTIF('Test Cases'!$A$6:$A$205,B72)=1,I72&lt;&gt;"",J72&lt;&gt;"",OR(K72="Answered",K72="Clarification",K72="Abstained"),X72="Yes",T72&lt;&gt;"",O72&gt;0,Q72=0),P72/MAX(1,O72),"")</f>
        <v/>
      </c>
      <c r="S72" s="11">
        <f>IF(A72="","",IF(AND(J72="",K72=""),"Pending",IF(COUNTIF($A$6:$A$205,A72)&lt;&gt;1,"Duplicate Run ID",IF(COUNTIF('Test Cases'!$A$6:$A$205,B72)&lt;&gt;1,"Check Test ID",IF(K72="Error","FAIL",IF(OR(I72="",J72=""),"Needs evidence / answer",IF(NOT(OR(K72="Answered",K72="Clarification",K72="Abstained")),"Choose outcome",IF(X72&lt;&gt;"Yes","Confirm claim inventory",IF(AND(K72="Answered",O72=0),"Needs claims",IF(Q72&gt;0,"Needs claim review",IF(OR(NOT(OR(L72="Yes",L72="No")),T72=""),"Needs response review",IF(OR(L72="No",M72&gt;0,N72&gt;0,AND(ISNUMBER(R72),R72&lt;Dashboard!$B$5)),"FAIL","PASS"))))))))))))</f>
        <v/>
      </c>
      <c r="V72" s="11">
        <f>IF(B72="","",IFERROR(VLOOKUP(B72,'Test Cases'!$A$6:$J$205,7,FALSE),"Unknown Test ID"))</f>
        <v/>
      </c>
      <c r="W72" s="11">
        <f>IF(B72="","",IFERROR(VLOOKUP(B72,'Test Cases'!$A$6:$J$205,8,FALSE),"Unknown Test ID"))</f>
        <v/>
      </c>
    </row>
    <row r="73" spans="3:23">
      <c r="C73" s="11">
        <f>IF(B73="","",IFERROR(VLOOKUP(B73,'Test Cases'!$A$6:$J$205,2,FALSE),"Unknown Test ID"))</f>
        <v/>
      </c>
      <c r="D73" s="11">
        <f>IF(B73="","",IFERROR(VLOOKUP(B73,'Test Cases'!$A$6:$J$205,5,FALSE),"Unknown Test ID"))</f>
        <v/>
      </c>
      <c r="M73" s="11">
        <f>IF(A73="","",COUNTIFS('Claim Review'!$A$6:$A$2005,A73,'Claim Review'!$C$6:$C$2005,"&lt;&gt;",'Claim Review'!$G$6:$G$2005,"Wrong citation")+COUNTIFS('Claim Review'!$A$6:$A$2005,A73,'Claim Review'!$C$6:$C$2005,"&lt;&gt;",'Claim Review'!$G$6:$G$2005,"Missing citation"))</f>
        <v/>
      </c>
      <c r="N73" s="11">
        <f>IF(A73="","",COUNTIFS('Claim Review'!$A$6:$A$2005,A73,'Claim Review'!$C$6:$C$2005,"&lt;&gt;",'Claim Review'!$H$6:$H$2005,"Yes"))</f>
        <v/>
      </c>
      <c r="O73" s="11">
        <f>IF(A73="","",COUNTIFS('Claim Review'!$A$6:$A$2005,A73,'Claim Review'!$C$6:$C$2005,"&lt;&gt;"))</f>
        <v/>
      </c>
      <c r="P73" s="11">
        <f>IF(A73="","",COUNTIFS('Claim Review'!$A$6:$A$2005,A73,'Claim Review'!$C$6:$C$2005,"&lt;&gt;",'Claim Review'!$F$6:$F$2005,"Supported"))</f>
        <v/>
      </c>
      <c r="Q73" s="11">
        <f>IF(A73="","",O73-COUNTIFS('Claim Review'!$A$6:$A$2005,A73,'Claim Review'!$C$6:$C$2005,"&lt;&gt;",'Claim Review'!$K$6:$K$2005,"Yes"))</f>
        <v/>
      </c>
      <c r="R73" s="12">
        <f>IF(AND(A73&lt;&gt;"",COUNTIF($A$6:$A$205,A73)=1,COUNTIF('Test Cases'!$A$6:$A$205,B73)=1,I73&lt;&gt;"",J73&lt;&gt;"",OR(K73="Answered",K73="Clarification",K73="Abstained"),X73="Yes",T73&lt;&gt;"",O73&gt;0,Q73=0),P73/MAX(1,O73),"")</f>
        <v/>
      </c>
      <c r="S73" s="11">
        <f>IF(A73="","",IF(AND(J73="",K73=""),"Pending",IF(COUNTIF($A$6:$A$205,A73)&lt;&gt;1,"Duplicate Run ID",IF(COUNTIF('Test Cases'!$A$6:$A$205,B73)&lt;&gt;1,"Check Test ID",IF(K73="Error","FAIL",IF(OR(I73="",J73=""),"Needs evidence / answer",IF(NOT(OR(K73="Answered",K73="Clarification",K73="Abstained")),"Choose outcome",IF(X73&lt;&gt;"Yes","Confirm claim inventory",IF(AND(K73="Answered",O73=0),"Needs claims",IF(Q73&gt;0,"Needs claim review",IF(OR(NOT(OR(L73="Yes",L73="No")),T73=""),"Needs response review",IF(OR(L73="No",M73&gt;0,N73&gt;0,AND(ISNUMBER(R73),R73&lt;Dashboard!$B$5)),"FAIL","PASS"))))))))))))</f>
        <v/>
      </c>
      <c r="V73" s="11">
        <f>IF(B73="","",IFERROR(VLOOKUP(B73,'Test Cases'!$A$6:$J$205,7,FALSE),"Unknown Test ID"))</f>
        <v/>
      </c>
      <c r="W73" s="11">
        <f>IF(B73="","",IFERROR(VLOOKUP(B73,'Test Cases'!$A$6:$J$205,8,FALSE),"Unknown Test ID"))</f>
        <v/>
      </c>
    </row>
    <row r="74" spans="3:23">
      <c r="C74" s="11">
        <f>IF(B74="","",IFERROR(VLOOKUP(B74,'Test Cases'!$A$6:$J$205,2,FALSE),"Unknown Test ID"))</f>
        <v/>
      </c>
      <c r="D74" s="11">
        <f>IF(B74="","",IFERROR(VLOOKUP(B74,'Test Cases'!$A$6:$J$205,5,FALSE),"Unknown Test ID"))</f>
        <v/>
      </c>
      <c r="M74" s="11">
        <f>IF(A74="","",COUNTIFS('Claim Review'!$A$6:$A$2005,A74,'Claim Review'!$C$6:$C$2005,"&lt;&gt;",'Claim Review'!$G$6:$G$2005,"Wrong citation")+COUNTIFS('Claim Review'!$A$6:$A$2005,A74,'Claim Review'!$C$6:$C$2005,"&lt;&gt;",'Claim Review'!$G$6:$G$2005,"Missing citation"))</f>
        <v/>
      </c>
      <c r="N74" s="11">
        <f>IF(A74="","",COUNTIFS('Claim Review'!$A$6:$A$2005,A74,'Claim Review'!$C$6:$C$2005,"&lt;&gt;",'Claim Review'!$H$6:$H$2005,"Yes"))</f>
        <v/>
      </c>
      <c r="O74" s="11">
        <f>IF(A74="","",COUNTIFS('Claim Review'!$A$6:$A$2005,A74,'Claim Review'!$C$6:$C$2005,"&lt;&gt;"))</f>
        <v/>
      </c>
      <c r="P74" s="11">
        <f>IF(A74="","",COUNTIFS('Claim Review'!$A$6:$A$2005,A74,'Claim Review'!$C$6:$C$2005,"&lt;&gt;",'Claim Review'!$F$6:$F$2005,"Supported"))</f>
        <v/>
      </c>
      <c r="Q74" s="11">
        <f>IF(A74="","",O74-COUNTIFS('Claim Review'!$A$6:$A$2005,A74,'Claim Review'!$C$6:$C$2005,"&lt;&gt;",'Claim Review'!$K$6:$K$2005,"Yes"))</f>
        <v/>
      </c>
      <c r="R74" s="12">
        <f>IF(AND(A74&lt;&gt;"",COUNTIF($A$6:$A$205,A74)=1,COUNTIF('Test Cases'!$A$6:$A$205,B74)=1,I74&lt;&gt;"",J74&lt;&gt;"",OR(K74="Answered",K74="Clarification",K74="Abstained"),X74="Yes",T74&lt;&gt;"",O74&gt;0,Q74=0),P74/MAX(1,O74),"")</f>
        <v/>
      </c>
      <c r="S74" s="11">
        <f>IF(A74="","",IF(AND(J74="",K74=""),"Pending",IF(COUNTIF($A$6:$A$205,A74)&lt;&gt;1,"Duplicate Run ID",IF(COUNTIF('Test Cases'!$A$6:$A$205,B74)&lt;&gt;1,"Check Test ID",IF(K74="Error","FAIL",IF(OR(I74="",J74=""),"Needs evidence / answer",IF(NOT(OR(K74="Answered",K74="Clarification",K74="Abstained")),"Choose outcome",IF(X74&lt;&gt;"Yes","Confirm claim inventory",IF(AND(K74="Answered",O74=0),"Needs claims",IF(Q74&gt;0,"Needs claim review",IF(OR(NOT(OR(L74="Yes",L74="No")),T74=""),"Needs response review",IF(OR(L74="No",M74&gt;0,N74&gt;0,AND(ISNUMBER(R74),R74&lt;Dashboard!$B$5)),"FAIL","PASS"))))))))))))</f>
        <v/>
      </c>
      <c r="V74" s="11">
        <f>IF(B74="","",IFERROR(VLOOKUP(B74,'Test Cases'!$A$6:$J$205,7,FALSE),"Unknown Test ID"))</f>
        <v/>
      </c>
      <c r="W74" s="11">
        <f>IF(B74="","",IFERROR(VLOOKUP(B74,'Test Cases'!$A$6:$J$205,8,FALSE),"Unknown Test ID"))</f>
        <v/>
      </c>
    </row>
    <row r="75" spans="3:23">
      <c r="C75" s="11">
        <f>IF(B75="","",IFERROR(VLOOKUP(B75,'Test Cases'!$A$6:$J$205,2,FALSE),"Unknown Test ID"))</f>
        <v/>
      </c>
      <c r="D75" s="11">
        <f>IF(B75="","",IFERROR(VLOOKUP(B75,'Test Cases'!$A$6:$J$205,5,FALSE),"Unknown Test ID"))</f>
        <v/>
      </c>
      <c r="M75" s="11">
        <f>IF(A75="","",COUNTIFS('Claim Review'!$A$6:$A$2005,A75,'Claim Review'!$C$6:$C$2005,"&lt;&gt;",'Claim Review'!$G$6:$G$2005,"Wrong citation")+COUNTIFS('Claim Review'!$A$6:$A$2005,A75,'Claim Review'!$C$6:$C$2005,"&lt;&gt;",'Claim Review'!$G$6:$G$2005,"Missing citation"))</f>
        <v/>
      </c>
      <c r="N75" s="11">
        <f>IF(A75="","",COUNTIFS('Claim Review'!$A$6:$A$2005,A75,'Claim Review'!$C$6:$C$2005,"&lt;&gt;",'Claim Review'!$H$6:$H$2005,"Yes"))</f>
        <v/>
      </c>
      <c r="O75" s="11">
        <f>IF(A75="","",COUNTIFS('Claim Review'!$A$6:$A$2005,A75,'Claim Review'!$C$6:$C$2005,"&lt;&gt;"))</f>
        <v/>
      </c>
      <c r="P75" s="11">
        <f>IF(A75="","",COUNTIFS('Claim Review'!$A$6:$A$2005,A75,'Claim Review'!$C$6:$C$2005,"&lt;&gt;",'Claim Review'!$F$6:$F$2005,"Supported"))</f>
        <v/>
      </c>
      <c r="Q75" s="11">
        <f>IF(A75="","",O75-COUNTIFS('Claim Review'!$A$6:$A$2005,A75,'Claim Review'!$C$6:$C$2005,"&lt;&gt;",'Claim Review'!$K$6:$K$2005,"Yes"))</f>
        <v/>
      </c>
      <c r="R75" s="12">
        <f>IF(AND(A75&lt;&gt;"",COUNTIF($A$6:$A$205,A75)=1,COUNTIF('Test Cases'!$A$6:$A$205,B75)=1,I75&lt;&gt;"",J75&lt;&gt;"",OR(K75="Answered",K75="Clarification",K75="Abstained"),X75="Yes",T75&lt;&gt;"",O75&gt;0,Q75=0),P75/MAX(1,O75),"")</f>
        <v/>
      </c>
      <c r="S75" s="11">
        <f>IF(A75="","",IF(AND(J75="",K75=""),"Pending",IF(COUNTIF($A$6:$A$205,A75)&lt;&gt;1,"Duplicate Run ID",IF(COUNTIF('Test Cases'!$A$6:$A$205,B75)&lt;&gt;1,"Check Test ID",IF(K75="Error","FAIL",IF(OR(I75="",J75=""),"Needs evidence / answer",IF(NOT(OR(K75="Answered",K75="Clarification",K75="Abstained")),"Choose outcome",IF(X75&lt;&gt;"Yes","Confirm claim inventory",IF(AND(K75="Answered",O75=0),"Needs claims",IF(Q75&gt;0,"Needs claim review",IF(OR(NOT(OR(L75="Yes",L75="No")),T75=""),"Needs response review",IF(OR(L75="No",M75&gt;0,N75&gt;0,AND(ISNUMBER(R75),R75&lt;Dashboard!$B$5)),"FAIL","PASS"))))))))))))</f>
        <v/>
      </c>
      <c r="V75" s="11">
        <f>IF(B75="","",IFERROR(VLOOKUP(B75,'Test Cases'!$A$6:$J$205,7,FALSE),"Unknown Test ID"))</f>
        <v/>
      </c>
      <c r="W75" s="11">
        <f>IF(B75="","",IFERROR(VLOOKUP(B75,'Test Cases'!$A$6:$J$205,8,FALSE),"Unknown Test ID"))</f>
        <v/>
      </c>
    </row>
    <row r="76" spans="3:23">
      <c r="C76" s="11">
        <f>IF(B76="","",IFERROR(VLOOKUP(B76,'Test Cases'!$A$6:$J$205,2,FALSE),"Unknown Test ID"))</f>
        <v/>
      </c>
      <c r="D76" s="11">
        <f>IF(B76="","",IFERROR(VLOOKUP(B76,'Test Cases'!$A$6:$J$205,5,FALSE),"Unknown Test ID"))</f>
        <v/>
      </c>
      <c r="M76" s="11">
        <f>IF(A76="","",COUNTIFS('Claim Review'!$A$6:$A$2005,A76,'Claim Review'!$C$6:$C$2005,"&lt;&gt;",'Claim Review'!$G$6:$G$2005,"Wrong citation")+COUNTIFS('Claim Review'!$A$6:$A$2005,A76,'Claim Review'!$C$6:$C$2005,"&lt;&gt;",'Claim Review'!$G$6:$G$2005,"Missing citation"))</f>
        <v/>
      </c>
      <c r="N76" s="11">
        <f>IF(A76="","",COUNTIFS('Claim Review'!$A$6:$A$2005,A76,'Claim Review'!$C$6:$C$2005,"&lt;&gt;",'Claim Review'!$H$6:$H$2005,"Yes"))</f>
        <v/>
      </c>
      <c r="O76" s="11">
        <f>IF(A76="","",COUNTIFS('Claim Review'!$A$6:$A$2005,A76,'Claim Review'!$C$6:$C$2005,"&lt;&gt;"))</f>
        <v/>
      </c>
      <c r="P76" s="11">
        <f>IF(A76="","",COUNTIFS('Claim Review'!$A$6:$A$2005,A76,'Claim Review'!$C$6:$C$2005,"&lt;&gt;",'Claim Review'!$F$6:$F$2005,"Supported"))</f>
        <v/>
      </c>
      <c r="Q76" s="11">
        <f>IF(A76="","",O76-COUNTIFS('Claim Review'!$A$6:$A$2005,A76,'Claim Review'!$C$6:$C$2005,"&lt;&gt;",'Claim Review'!$K$6:$K$2005,"Yes"))</f>
        <v/>
      </c>
      <c r="R76" s="12">
        <f>IF(AND(A76&lt;&gt;"",COUNTIF($A$6:$A$205,A76)=1,COUNTIF('Test Cases'!$A$6:$A$205,B76)=1,I76&lt;&gt;"",J76&lt;&gt;"",OR(K76="Answered",K76="Clarification",K76="Abstained"),X76="Yes",T76&lt;&gt;"",O76&gt;0,Q76=0),P76/MAX(1,O76),"")</f>
        <v/>
      </c>
      <c r="S76" s="11">
        <f>IF(A76="","",IF(AND(J76="",K76=""),"Pending",IF(COUNTIF($A$6:$A$205,A76)&lt;&gt;1,"Duplicate Run ID",IF(COUNTIF('Test Cases'!$A$6:$A$205,B76)&lt;&gt;1,"Check Test ID",IF(K76="Error","FAIL",IF(OR(I76="",J76=""),"Needs evidence / answer",IF(NOT(OR(K76="Answered",K76="Clarification",K76="Abstained")),"Choose outcome",IF(X76&lt;&gt;"Yes","Confirm claim inventory",IF(AND(K76="Answered",O76=0),"Needs claims",IF(Q76&gt;0,"Needs claim review",IF(OR(NOT(OR(L76="Yes",L76="No")),T76=""),"Needs response review",IF(OR(L76="No",M76&gt;0,N76&gt;0,AND(ISNUMBER(R76),R76&lt;Dashboard!$B$5)),"FAIL","PASS"))))))))))))</f>
        <v/>
      </c>
      <c r="V76" s="11">
        <f>IF(B76="","",IFERROR(VLOOKUP(B76,'Test Cases'!$A$6:$J$205,7,FALSE),"Unknown Test ID"))</f>
        <v/>
      </c>
      <c r="W76" s="11">
        <f>IF(B76="","",IFERROR(VLOOKUP(B76,'Test Cases'!$A$6:$J$205,8,FALSE),"Unknown Test ID"))</f>
        <v/>
      </c>
    </row>
    <row r="77" spans="3:23">
      <c r="C77" s="11">
        <f>IF(B77="","",IFERROR(VLOOKUP(B77,'Test Cases'!$A$6:$J$205,2,FALSE),"Unknown Test ID"))</f>
        <v/>
      </c>
      <c r="D77" s="11">
        <f>IF(B77="","",IFERROR(VLOOKUP(B77,'Test Cases'!$A$6:$J$205,5,FALSE),"Unknown Test ID"))</f>
        <v/>
      </c>
      <c r="M77" s="11">
        <f>IF(A77="","",COUNTIFS('Claim Review'!$A$6:$A$2005,A77,'Claim Review'!$C$6:$C$2005,"&lt;&gt;",'Claim Review'!$G$6:$G$2005,"Wrong citation")+COUNTIFS('Claim Review'!$A$6:$A$2005,A77,'Claim Review'!$C$6:$C$2005,"&lt;&gt;",'Claim Review'!$G$6:$G$2005,"Missing citation"))</f>
        <v/>
      </c>
      <c r="N77" s="11">
        <f>IF(A77="","",COUNTIFS('Claim Review'!$A$6:$A$2005,A77,'Claim Review'!$C$6:$C$2005,"&lt;&gt;",'Claim Review'!$H$6:$H$2005,"Yes"))</f>
        <v/>
      </c>
      <c r="O77" s="11">
        <f>IF(A77="","",COUNTIFS('Claim Review'!$A$6:$A$2005,A77,'Claim Review'!$C$6:$C$2005,"&lt;&gt;"))</f>
        <v/>
      </c>
      <c r="P77" s="11">
        <f>IF(A77="","",COUNTIFS('Claim Review'!$A$6:$A$2005,A77,'Claim Review'!$C$6:$C$2005,"&lt;&gt;",'Claim Review'!$F$6:$F$2005,"Supported"))</f>
        <v/>
      </c>
      <c r="Q77" s="11">
        <f>IF(A77="","",O77-COUNTIFS('Claim Review'!$A$6:$A$2005,A77,'Claim Review'!$C$6:$C$2005,"&lt;&gt;",'Claim Review'!$K$6:$K$2005,"Yes"))</f>
        <v/>
      </c>
      <c r="R77" s="12">
        <f>IF(AND(A77&lt;&gt;"",COUNTIF($A$6:$A$205,A77)=1,COUNTIF('Test Cases'!$A$6:$A$205,B77)=1,I77&lt;&gt;"",J77&lt;&gt;"",OR(K77="Answered",K77="Clarification",K77="Abstained"),X77="Yes",T77&lt;&gt;"",O77&gt;0,Q77=0),P77/MAX(1,O77),"")</f>
        <v/>
      </c>
      <c r="S77" s="11">
        <f>IF(A77="","",IF(AND(J77="",K77=""),"Pending",IF(COUNTIF($A$6:$A$205,A77)&lt;&gt;1,"Duplicate Run ID",IF(COUNTIF('Test Cases'!$A$6:$A$205,B77)&lt;&gt;1,"Check Test ID",IF(K77="Error","FAIL",IF(OR(I77="",J77=""),"Needs evidence / answer",IF(NOT(OR(K77="Answered",K77="Clarification",K77="Abstained")),"Choose outcome",IF(X77&lt;&gt;"Yes","Confirm claim inventory",IF(AND(K77="Answered",O77=0),"Needs claims",IF(Q77&gt;0,"Needs claim review",IF(OR(NOT(OR(L77="Yes",L77="No")),T77=""),"Needs response review",IF(OR(L77="No",M77&gt;0,N77&gt;0,AND(ISNUMBER(R77),R77&lt;Dashboard!$B$5)),"FAIL","PASS"))))))))))))</f>
        <v/>
      </c>
      <c r="V77" s="11">
        <f>IF(B77="","",IFERROR(VLOOKUP(B77,'Test Cases'!$A$6:$J$205,7,FALSE),"Unknown Test ID"))</f>
        <v/>
      </c>
      <c r="W77" s="11">
        <f>IF(B77="","",IFERROR(VLOOKUP(B77,'Test Cases'!$A$6:$J$205,8,FALSE),"Unknown Test ID"))</f>
        <v/>
      </c>
    </row>
    <row r="78" spans="3:23">
      <c r="C78" s="11">
        <f>IF(B78="","",IFERROR(VLOOKUP(B78,'Test Cases'!$A$6:$J$205,2,FALSE),"Unknown Test ID"))</f>
        <v/>
      </c>
      <c r="D78" s="11">
        <f>IF(B78="","",IFERROR(VLOOKUP(B78,'Test Cases'!$A$6:$J$205,5,FALSE),"Unknown Test ID"))</f>
        <v/>
      </c>
      <c r="M78" s="11">
        <f>IF(A78="","",COUNTIFS('Claim Review'!$A$6:$A$2005,A78,'Claim Review'!$C$6:$C$2005,"&lt;&gt;",'Claim Review'!$G$6:$G$2005,"Wrong citation")+COUNTIFS('Claim Review'!$A$6:$A$2005,A78,'Claim Review'!$C$6:$C$2005,"&lt;&gt;",'Claim Review'!$G$6:$G$2005,"Missing citation"))</f>
        <v/>
      </c>
      <c r="N78" s="11">
        <f>IF(A78="","",COUNTIFS('Claim Review'!$A$6:$A$2005,A78,'Claim Review'!$C$6:$C$2005,"&lt;&gt;",'Claim Review'!$H$6:$H$2005,"Yes"))</f>
        <v/>
      </c>
      <c r="O78" s="11">
        <f>IF(A78="","",COUNTIFS('Claim Review'!$A$6:$A$2005,A78,'Claim Review'!$C$6:$C$2005,"&lt;&gt;"))</f>
        <v/>
      </c>
      <c r="P78" s="11">
        <f>IF(A78="","",COUNTIFS('Claim Review'!$A$6:$A$2005,A78,'Claim Review'!$C$6:$C$2005,"&lt;&gt;",'Claim Review'!$F$6:$F$2005,"Supported"))</f>
        <v/>
      </c>
      <c r="Q78" s="11">
        <f>IF(A78="","",O78-COUNTIFS('Claim Review'!$A$6:$A$2005,A78,'Claim Review'!$C$6:$C$2005,"&lt;&gt;",'Claim Review'!$K$6:$K$2005,"Yes"))</f>
        <v/>
      </c>
      <c r="R78" s="12">
        <f>IF(AND(A78&lt;&gt;"",COUNTIF($A$6:$A$205,A78)=1,COUNTIF('Test Cases'!$A$6:$A$205,B78)=1,I78&lt;&gt;"",J78&lt;&gt;"",OR(K78="Answered",K78="Clarification",K78="Abstained"),X78="Yes",T78&lt;&gt;"",O78&gt;0,Q78=0),P78/MAX(1,O78),"")</f>
        <v/>
      </c>
      <c r="S78" s="11">
        <f>IF(A78="","",IF(AND(J78="",K78=""),"Pending",IF(COUNTIF($A$6:$A$205,A78)&lt;&gt;1,"Duplicate Run ID",IF(COUNTIF('Test Cases'!$A$6:$A$205,B78)&lt;&gt;1,"Check Test ID",IF(K78="Error","FAIL",IF(OR(I78="",J78=""),"Needs evidence / answer",IF(NOT(OR(K78="Answered",K78="Clarification",K78="Abstained")),"Choose outcome",IF(X78&lt;&gt;"Yes","Confirm claim inventory",IF(AND(K78="Answered",O78=0),"Needs claims",IF(Q78&gt;0,"Needs claim review",IF(OR(NOT(OR(L78="Yes",L78="No")),T78=""),"Needs response review",IF(OR(L78="No",M78&gt;0,N78&gt;0,AND(ISNUMBER(R78),R78&lt;Dashboard!$B$5)),"FAIL","PASS"))))))))))))</f>
        <v/>
      </c>
      <c r="V78" s="11">
        <f>IF(B78="","",IFERROR(VLOOKUP(B78,'Test Cases'!$A$6:$J$205,7,FALSE),"Unknown Test ID"))</f>
        <v/>
      </c>
      <c r="W78" s="11">
        <f>IF(B78="","",IFERROR(VLOOKUP(B78,'Test Cases'!$A$6:$J$205,8,FALSE),"Unknown Test ID"))</f>
        <v/>
      </c>
    </row>
    <row r="79" spans="3:23">
      <c r="C79" s="11">
        <f>IF(B79="","",IFERROR(VLOOKUP(B79,'Test Cases'!$A$6:$J$205,2,FALSE),"Unknown Test ID"))</f>
        <v/>
      </c>
      <c r="D79" s="11">
        <f>IF(B79="","",IFERROR(VLOOKUP(B79,'Test Cases'!$A$6:$J$205,5,FALSE),"Unknown Test ID"))</f>
        <v/>
      </c>
      <c r="M79" s="11">
        <f>IF(A79="","",COUNTIFS('Claim Review'!$A$6:$A$2005,A79,'Claim Review'!$C$6:$C$2005,"&lt;&gt;",'Claim Review'!$G$6:$G$2005,"Wrong citation")+COUNTIFS('Claim Review'!$A$6:$A$2005,A79,'Claim Review'!$C$6:$C$2005,"&lt;&gt;",'Claim Review'!$G$6:$G$2005,"Missing citation"))</f>
        <v/>
      </c>
      <c r="N79" s="11">
        <f>IF(A79="","",COUNTIFS('Claim Review'!$A$6:$A$2005,A79,'Claim Review'!$C$6:$C$2005,"&lt;&gt;",'Claim Review'!$H$6:$H$2005,"Yes"))</f>
        <v/>
      </c>
      <c r="O79" s="11">
        <f>IF(A79="","",COUNTIFS('Claim Review'!$A$6:$A$2005,A79,'Claim Review'!$C$6:$C$2005,"&lt;&gt;"))</f>
        <v/>
      </c>
      <c r="P79" s="11">
        <f>IF(A79="","",COUNTIFS('Claim Review'!$A$6:$A$2005,A79,'Claim Review'!$C$6:$C$2005,"&lt;&gt;",'Claim Review'!$F$6:$F$2005,"Supported"))</f>
        <v/>
      </c>
      <c r="Q79" s="11">
        <f>IF(A79="","",O79-COUNTIFS('Claim Review'!$A$6:$A$2005,A79,'Claim Review'!$C$6:$C$2005,"&lt;&gt;",'Claim Review'!$K$6:$K$2005,"Yes"))</f>
        <v/>
      </c>
      <c r="R79" s="12">
        <f>IF(AND(A79&lt;&gt;"",COUNTIF($A$6:$A$205,A79)=1,COUNTIF('Test Cases'!$A$6:$A$205,B79)=1,I79&lt;&gt;"",J79&lt;&gt;"",OR(K79="Answered",K79="Clarification",K79="Abstained"),X79="Yes",T79&lt;&gt;"",O79&gt;0,Q79=0),P79/MAX(1,O79),"")</f>
        <v/>
      </c>
      <c r="S79" s="11">
        <f>IF(A79="","",IF(AND(J79="",K79=""),"Pending",IF(COUNTIF($A$6:$A$205,A79)&lt;&gt;1,"Duplicate Run ID",IF(COUNTIF('Test Cases'!$A$6:$A$205,B79)&lt;&gt;1,"Check Test ID",IF(K79="Error","FAIL",IF(OR(I79="",J79=""),"Needs evidence / answer",IF(NOT(OR(K79="Answered",K79="Clarification",K79="Abstained")),"Choose outcome",IF(X79&lt;&gt;"Yes","Confirm claim inventory",IF(AND(K79="Answered",O79=0),"Needs claims",IF(Q79&gt;0,"Needs claim review",IF(OR(NOT(OR(L79="Yes",L79="No")),T79=""),"Needs response review",IF(OR(L79="No",M79&gt;0,N79&gt;0,AND(ISNUMBER(R79),R79&lt;Dashboard!$B$5)),"FAIL","PASS"))))))))))))</f>
        <v/>
      </c>
      <c r="V79" s="11">
        <f>IF(B79="","",IFERROR(VLOOKUP(B79,'Test Cases'!$A$6:$J$205,7,FALSE),"Unknown Test ID"))</f>
        <v/>
      </c>
      <c r="W79" s="11">
        <f>IF(B79="","",IFERROR(VLOOKUP(B79,'Test Cases'!$A$6:$J$205,8,FALSE),"Unknown Test ID"))</f>
        <v/>
      </c>
    </row>
    <row r="80" spans="3:23">
      <c r="C80" s="11">
        <f>IF(B80="","",IFERROR(VLOOKUP(B80,'Test Cases'!$A$6:$J$205,2,FALSE),"Unknown Test ID"))</f>
        <v/>
      </c>
      <c r="D80" s="11">
        <f>IF(B80="","",IFERROR(VLOOKUP(B80,'Test Cases'!$A$6:$J$205,5,FALSE),"Unknown Test ID"))</f>
        <v/>
      </c>
      <c r="M80" s="11">
        <f>IF(A80="","",COUNTIFS('Claim Review'!$A$6:$A$2005,A80,'Claim Review'!$C$6:$C$2005,"&lt;&gt;",'Claim Review'!$G$6:$G$2005,"Wrong citation")+COUNTIFS('Claim Review'!$A$6:$A$2005,A80,'Claim Review'!$C$6:$C$2005,"&lt;&gt;",'Claim Review'!$G$6:$G$2005,"Missing citation"))</f>
        <v/>
      </c>
      <c r="N80" s="11">
        <f>IF(A80="","",COUNTIFS('Claim Review'!$A$6:$A$2005,A80,'Claim Review'!$C$6:$C$2005,"&lt;&gt;",'Claim Review'!$H$6:$H$2005,"Yes"))</f>
        <v/>
      </c>
      <c r="O80" s="11">
        <f>IF(A80="","",COUNTIFS('Claim Review'!$A$6:$A$2005,A80,'Claim Review'!$C$6:$C$2005,"&lt;&gt;"))</f>
        <v/>
      </c>
      <c r="P80" s="11">
        <f>IF(A80="","",COUNTIFS('Claim Review'!$A$6:$A$2005,A80,'Claim Review'!$C$6:$C$2005,"&lt;&gt;",'Claim Review'!$F$6:$F$2005,"Supported"))</f>
        <v/>
      </c>
      <c r="Q80" s="11">
        <f>IF(A80="","",O80-COUNTIFS('Claim Review'!$A$6:$A$2005,A80,'Claim Review'!$C$6:$C$2005,"&lt;&gt;",'Claim Review'!$K$6:$K$2005,"Yes"))</f>
        <v/>
      </c>
      <c r="R80" s="12">
        <f>IF(AND(A80&lt;&gt;"",COUNTIF($A$6:$A$205,A80)=1,COUNTIF('Test Cases'!$A$6:$A$205,B80)=1,I80&lt;&gt;"",J80&lt;&gt;"",OR(K80="Answered",K80="Clarification",K80="Abstained"),X80="Yes",T80&lt;&gt;"",O80&gt;0,Q80=0),P80/MAX(1,O80),"")</f>
        <v/>
      </c>
      <c r="S80" s="11">
        <f>IF(A80="","",IF(AND(J80="",K80=""),"Pending",IF(COUNTIF($A$6:$A$205,A80)&lt;&gt;1,"Duplicate Run ID",IF(COUNTIF('Test Cases'!$A$6:$A$205,B80)&lt;&gt;1,"Check Test ID",IF(K80="Error","FAIL",IF(OR(I80="",J80=""),"Needs evidence / answer",IF(NOT(OR(K80="Answered",K80="Clarification",K80="Abstained")),"Choose outcome",IF(X80&lt;&gt;"Yes","Confirm claim inventory",IF(AND(K80="Answered",O80=0),"Needs claims",IF(Q80&gt;0,"Needs claim review",IF(OR(NOT(OR(L80="Yes",L80="No")),T80=""),"Needs response review",IF(OR(L80="No",M80&gt;0,N80&gt;0,AND(ISNUMBER(R80),R80&lt;Dashboard!$B$5)),"FAIL","PASS"))))))))))))</f>
        <v/>
      </c>
      <c r="V80" s="11">
        <f>IF(B80="","",IFERROR(VLOOKUP(B80,'Test Cases'!$A$6:$J$205,7,FALSE),"Unknown Test ID"))</f>
        <v/>
      </c>
      <c r="W80" s="11">
        <f>IF(B80="","",IFERROR(VLOOKUP(B80,'Test Cases'!$A$6:$J$205,8,FALSE),"Unknown Test ID"))</f>
        <v/>
      </c>
    </row>
    <row r="81" spans="3:23">
      <c r="C81" s="11">
        <f>IF(B81="","",IFERROR(VLOOKUP(B81,'Test Cases'!$A$6:$J$205,2,FALSE),"Unknown Test ID"))</f>
        <v/>
      </c>
      <c r="D81" s="11">
        <f>IF(B81="","",IFERROR(VLOOKUP(B81,'Test Cases'!$A$6:$J$205,5,FALSE),"Unknown Test ID"))</f>
        <v/>
      </c>
      <c r="M81" s="11">
        <f>IF(A81="","",COUNTIFS('Claim Review'!$A$6:$A$2005,A81,'Claim Review'!$C$6:$C$2005,"&lt;&gt;",'Claim Review'!$G$6:$G$2005,"Wrong citation")+COUNTIFS('Claim Review'!$A$6:$A$2005,A81,'Claim Review'!$C$6:$C$2005,"&lt;&gt;",'Claim Review'!$G$6:$G$2005,"Missing citation"))</f>
        <v/>
      </c>
      <c r="N81" s="11">
        <f>IF(A81="","",COUNTIFS('Claim Review'!$A$6:$A$2005,A81,'Claim Review'!$C$6:$C$2005,"&lt;&gt;",'Claim Review'!$H$6:$H$2005,"Yes"))</f>
        <v/>
      </c>
      <c r="O81" s="11">
        <f>IF(A81="","",COUNTIFS('Claim Review'!$A$6:$A$2005,A81,'Claim Review'!$C$6:$C$2005,"&lt;&gt;"))</f>
        <v/>
      </c>
      <c r="P81" s="11">
        <f>IF(A81="","",COUNTIFS('Claim Review'!$A$6:$A$2005,A81,'Claim Review'!$C$6:$C$2005,"&lt;&gt;",'Claim Review'!$F$6:$F$2005,"Supported"))</f>
        <v/>
      </c>
      <c r="Q81" s="11">
        <f>IF(A81="","",O81-COUNTIFS('Claim Review'!$A$6:$A$2005,A81,'Claim Review'!$C$6:$C$2005,"&lt;&gt;",'Claim Review'!$K$6:$K$2005,"Yes"))</f>
        <v/>
      </c>
      <c r="R81" s="12">
        <f>IF(AND(A81&lt;&gt;"",COUNTIF($A$6:$A$205,A81)=1,COUNTIF('Test Cases'!$A$6:$A$205,B81)=1,I81&lt;&gt;"",J81&lt;&gt;"",OR(K81="Answered",K81="Clarification",K81="Abstained"),X81="Yes",T81&lt;&gt;"",O81&gt;0,Q81=0),P81/MAX(1,O81),"")</f>
        <v/>
      </c>
      <c r="S81" s="11">
        <f>IF(A81="","",IF(AND(J81="",K81=""),"Pending",IF(COUNTIF($A$6:$A$205,A81)&lt;&gt;1,"Duplicate Run ID",IF(COUNTIF('Test Cases'!$A$6:$A$205,B81)&lt;&gt;1,"Check Test ID",IF(K81="Error","FAIL",IF(OR(I81="",J81=""),"Needs evidence / answer",IF(NOT(OR(K81="Answered",K81="Clarification",K81="Abstained")),"Choose outcome",IF(X81&lt;&gt;"Yes","Confirm claim inventory",IF(AND(K81="Answered",O81=0),"Needs claims",IF(Q81&gt;0,"Needs claim review",IF(OR(NOT(OR(L81="Yes",L81="No")),T81=""),"Needs response review",IF(OR(L81="No",M81&gt;0,N81&gt;0,AND(ISNUMBER(R81),R81&lt;Dashboard!$B$5)),"FAIL","PASS"))))))))))))</f>
        <v/>
      </c>
      <c r="V81" s="11">
        <f>IF(B81="","",IFERROR(VLOOKUP(B81,'Test Cases'!$A$6:$J$205,7,FALSE),"Unknown Test ID"))</f>
        <v/>
      </c>
      <c r="W81" s="11">
        <f>IF(B81="","",IFERROR(VLOOKUP(B81,'Test Cases'!$A$6:$J$205,8,FALSE),"Unknown Test ID"))</f>
        <v/>
      </c>
    </row>
    <row r="82" spans="3:23">
      <c r="C82" s="11">
        <f>IF(B82="","",IFERROR(VLOOKUP(B82,'Test Cases'!$A$6:$J$205,2,FALSE),"Unknown Test ID"))</f>
        <v/>
      </c>
      <c r="D82" s="11">
        <f>IF(B82="","",IFERROR(VLOOKUP(B82,'Test Cases'!$A$6:$J$205,5,FALSE),"Unknown Test ID"))</f>
        <v/>
      </c>
      <c r="M82" s="11">
        <f>IF(A82="","",COUNTIFS('Claim Review'!$A$6:$A$2005,A82,'Claim Review'!$C$6:$C$2005,"&lt;&gt;",'Claim Review'!$G$6:$G$2005,"Wrong citation")+COUNTIFS('Claim Review'!$A$6:$A$2005,A82,'Claim Review'!$C$6:$C$2005,"&lt;&gt;",'Claim Review'!$G$6:$G$2005,"Missing citation"))</f>
        <v/>
      </c>
      <c r="N82" s="11">
        <f>IF(A82="","",COUNTIFS('Claim Review'!$A$6:$A$2005,A82,'Claim Review'!$C$6:$C$2005,"&lt;&gt;",'Claim Review'!$H$6:$H$2005,"Yes"))</f>
        <v/>
      </c>
      <c r="O82" s="11">
        <f>IF(A82="","",COUNTIFS('Claim Review'!$A$6:$A$2005,A82,'Claim Review'!$C$6:$C$2005,"&lt;&gt;"))</f>
        <v/>
      </c>
      <c r="P82" s="11">
        <f>IF(A82="","",COUNTIFS('Claim Review'!$A$6:$A$2005,A82,'Claim Review'!$C$6:$C$2005,"&lt;&gt;",'Claim Review'!$F$6:$F$2005,"Supported"))</f>
        <v/>
      </c>
      <c r="Q82" s="11">
        <f>IF(A82="","",O82-COUNTIFS('Claim Review'!$A$6:$A$2005,A82,'Claim Review'!$C$6:$C$2005,"&lt;&gt;",'Claim Review'!$K$6:$K$2005,"Yes"))</f>
        <v/>
      </c>
      <c r="R82" s="12">
        <f>IF(AND(A82&lt;&gt;"",COUNTIF($A$6:$A$205,A82)=1,COUNTIF('Test Cases'!$A$6:$A$205,B82)=1,I82&lt;&gt;"",J82&lt;&gt;"",OR(K82="Answered",K82="Clarification",K82="Abstained"),X82="Yes",T82&lt;&gt;"",O82&gt;0,Q82=0),P82/MAX(1,O82),"")</f>
        <v/>
      </c>
      <c r="S82" s="11">
        <f>IF(A82="","",IF(AND(J82="",K82=""),"Pending",IF(COUNTIF($A$6:$A$205,A82)&lt;&gt;1,"Duplicate Run ID",IF(COUNTIF('Test Cases'!$A$6:$A$205,B82)&lt;&gt;1,"Check Test ID",IF(K82="Error","FAIL",IF(OR(I82="",J82=""),"Needs evidence / answer",IF(NOT(OR(K82="Answered",K82="Clarification",K82="Abstained")),"Choose outcome",IF(X82&lt;&gt;"Yes","Confirm claim inventory",IF(AND(K82="Answered",O82=0),"Needs claims",IF(Q82&gt;0,"Needs claim review",IF(OR(NOT(OR(L82="Yes",L82="No")),T82=""),"Needs response review",IF(OR(L82="No",M82&gt;0,N82&gt;0,AND(ISNUMBER(R82),R82&lt;Dashboard!$B$5)),"FAIL","PASS"))))))))))))</f>
        <v/>
      </c>
      <c r="V82" s="11">
        <f>IF(B82="","",IFERROR(VLOOKUP(B82,'Test Cases'!$A$6:$J$205,7,FALSE),"Unknown Test ID"))</f>
        <v/>
      </c>
      <c r="W82" s="11">
        <f>IF(B82="","",IFERROR(VLOOKUP(B82,'Test Cases'!$A$6:$J$205,8,FALSE),"Unknown Test ID"))</f>
        <v/>
      </c>
    </row>
    <row r="83" spans="3:23">
      <c r="C83" s="11">
        <f>IF(B83="","",IFERROR(VLOOKUP(B83,'Test Cases'!$A$6:$J$205,2,FALSE),"Unknown Test ID"))</f>
        <v/>
      </c>
      <c r="D83" s="11">
        <f>IF(B83="","",IFERROR(VLOOKUP(B83,'Test Cases'!$A$6:$J$205,5,FALSE),"Unknown Test ID"))</f>
        <v/>
      </c>
      <c r="M83" s="11">
        <f>IF(A83="","",COUNTIFS('Claim Review'!$A$6:$A$2005,A83,'Claim Review'!$C$6:$C$2005,"&lt;&gt;",'Claim Review'!$G$6:$G$2005,"Wrong citation")+COUNTIFS('Claim Review'!$A$6:$A$2005,A83,'Claim Review'!$C$6:$C$2005,"&lt;&gt;",'Claim Review'!$G$6:$G$2005,"Missing citation"))</f>
        <v/>
      </c>
      <c r="N83" s="11">
        <f>IF(A83="","",COUNTIFS('Claim Review'!$A$6:$A$2005,A83,'Claim Review'!$C$6:$C$2005,"&lt;&gt;",'Claim Review'!$H$6:$H$2005,"Yes"))</f>
        <v/>
      </c>
      <c r="O83" s="11">
        <f>IF(A83="","",COUNTIFS('Claim Review'!$A$6:$A$2005,A83,'Claim Review'!$C$6:$C$2005,"&lt;&gt;"))</f>
        <v/>
      </c>
      <c r="P83" s="11">
        <f>IF(A83="","",COUNTIFS('Claim Review'!$A$6:$A$2005,A83,'Claim Review'!$C$6:$C$2005,"&lt;&gt;",'Claim Review'!$F$6:$F$2005,"Supported"))</f>
        <v/>
      </c>
      <c r="Q83" s="11">
        <f>IF(A83="","",O83-COUNTIFS('Claim Review'!$A$6:$A$2005,A83,'Claim Review'!$C$6:$C$2005,"&lt;&gt;",'Claim Review'!$K$6:$K$2005,"Yes"))</f>
        <v/>
      </c>
      <c r="R83" s="12">
        <f>IF(AND(A83&lt;&gt;"",COUNTIF($A$6:$A$205,A83)=1,COUNTIF('Test Cases'!$A$6:$A$205,B83)=1,I83&lt;&gt;"",J83&lt;&gt;"",OR(K83="Answered",K83="Clarification",K83="Abstained"),X83="Yes",T83&lt;&gt;"",O83&gt;0,Q83=0),P83/MAX(1,O83),"")</f>
        <v/>
      </c>
      <c r="S83" s="11">
        <f>IF(A83="","",IF(AND(J83="",K83=""),"Pending",IF(COUNTIF($A$6:$A$205,A83)&lt;&gt;1,"Duplicate Run ID",IF(COUNTIF('Test Cases'!$A$6:$A$205,B83)&lt;&gt;1,"Check Test ID",IF(K83="Error","FAIL",IF(OR(I83="",J83=""),"Needs evidence / answer",IF(NOT(OR(K83="Answered",K83="Clarification",K83="Abstained")),"Choose outcome",IF(X83&lt;&gt;"Yes","Confirm claim inventory",IF(AND(K83="Answered",O83=0),"Needs claims",IF(Q83&gt;0,"Needs claim review",IF(OR(NOT(OR(L83="Yes",L83="No")),T83=""),"Needs response review",IF(OR(L83="No",M83&gt;0,N83&gt;0,AND(ISNUMBER(R83),R83&lt;Dashboard!$B$5)),"FAIL","PASS"))))))))))))</f>
        <v/>
      </c>
      <c r="V83" s="11">
        <f>IF(B83="","",IFERROR(VLOOKUP(B83,'Test Cases'!$A$6:$J$205,7,FALSE),"Unknown Test ID"))</f>
        <v/>
      </c>
      <c r="W83" s="11">
        <f>IF(B83="","",IFERROR(VLOOKUP(B83,'Test Cases'!$A$6:$J$205,8,FALSE),"Unknown Test ID"))</f>
        <v/>
      </c>
    </row>
    <row r="84" spans="3:23">
      <c r="C84" s="11">
        <f>IF(B84="","",IFERROR(VLOOKUP(B84,'Test Cases'!$A$6:$J$205,2,FALSE),"Unknown Test ID"))</f>
        <v/>
      </c>
      <c r="D84" s="11">
        <f>IF(B84="","",IFERROR(VLOOKUP(B84,'Test Cases'!$A$6:$J$205,5,FALSE),"Unknown Test ID"))</f>
        <v/>
      </c>
      <c r="M84" s="11">
        <f>IF(A84="","",COUNTIFS('Claim Review'!$A$6:$A$2005,A84,'Claim Review'!$C$6:$C$2005,"&lt;&gt;",'Claim Review'!$G$6:$G$2005,"Wrong citation")+COUNTIFS('Claim Review'!$A$6:$A$2005,A84,'Claim Review'!$C$6:$C$2005,"&lt;&gt;",'Claim Review'!$G$6:$G$2005,"Missing citation"))</f>
        <v/>
      </c>
      <c r="N84" s="11">
        <f>IF(A84="","",COUNTIFS('Claim Review'!$A$6:$A$2005,A84,'Claim Review'!$C$6:$C$2005,"&lt;&gt;",'Claim Review'!$H$6:$H$2005,"Yes"))</f>
        <v/>
      </c>
      <c r="O84" s="11">
        <f>IF(A84="","",COUNTIFS('Claim Review'!$A$6:$A$2005,A84,'Claim Review'!$C$6:$C$2005,"&lt;&gt;"))</f>
        <v/>
      </c>
      <c r="P84" s="11">
        <f>IF(A84="","",COUNTIFS('Claim Review'!$A$6:$A$2005,A84,'Claim Review'!$C$6:$C$2005,"&lt;&gt;",'Claim Review'!$F$6:$F$2005,"Supported"))</f>
        <v/>
      </c>
      <c r="Q84" s="11">
        <f>IF(A84="","",O84-COUNTIFS('Claim Review'!$A$6:$A$2005,A84,'Claim Review'!$C$6:$C$2005,"&lt;&gt;",'Claim Review'!$K$6:$K$2005,"Yes"))</f>
        <v/>
      </c>
      <c r="R84" s="12">
        <f>IF(AND(A84&lt;&gt;"",COUNTIF($A$6:$A$205,A84)=1,COUNTIF('Test Cases'!$A$6:$A$205,B84)=1,I84&lt;&gt;"",J84&lt;&gt;"",OR(K84="Answered",K84="Clarification",K84="Abstained"),X84="Yes",T84&lt;&gt;"",O84&gt;0,Q84=0),P84/MAX(1,O84),"")</f>
        <v/>
      </c>
      <c r="S84" s="11">
        <f>IF(A84="","",IF(AND(J84="",K84=""),"Pending",IF(COUNTIF($A$6:$A$205,A84)&lt;&gt;1,"Duplicate Run ID",IF(COUNTIF('Test Cases'!$A$6:$A$205,B84)&lt;&gt;1,"Check Test ID",IF(K84="Error","FAIL",IF(OR(I84="",J84=""),"Needs evidence / answer",IF(NOT(OR(K84="Answered",K84="Clarification",K84="Abstained")),"Choose outcome",IF(X84&lt;&gt;"Yes","Confirm claim inventory",IF(AND(K84="Answered",O84=0),"Needs claims",IF(Q84&gt;0,"Needs claim review",IF(OR(NOT(OR(L84="Yes",L84="No")),T84=""),"Needs response review",IF(OR(L84="No",M84&gt;0,N84&gt;0,AND(ISNUMBER(R84),R84&lt;Dashboard!$B$5)),"FAIL","PASS"))))))))))))</f>
        <v/>
      </c>
      <c r="V84" s="11">
        <f>IF(B84="","",IFERROR(VLOOKUP(B84,'Test Cases'!$A$6:$J$205,7,FALSE),"Unknown Test ID"))</f>
        <v/>
      </c>
      <c r="W84" s="11">
        <f>IF(B84="","",IFERROR(VLOOKUP(B84,'Test Cases'!$A$6:$J$205,8,FALSE),"Unknown Test ID"))</f>
        <v/>
      </c>
    </row>
    <row r="85" spans="3:23">
      <c r="C85" s="11">
        <f>IF(B85="","",IFERROR(VLOOKUP(B85,'Test Cases'!$A$6:$J$205,2,FALSE),"Unknown Test ID"))</f>
        <v/>
      </c>
      <c r="D85" s="11">
        <f>IF(B85="","",IFERROR(VLOOKUP(B85,'Test Cases'!$A$6:$J$205,5,FALSE),"Unknown Test ID"))</f>
        <v/>
      </c>
      <c r="M85" s="11">
        <f>IF(A85="","",COUNTIFS('Claim Review'!$A$6:$A$2005,A85,'Claim Review'!$C$6:$C$2005,"&lt;&gt;",'Claim Review'!$G$6:$G$2005,"Wrong citation")+COUNTIFS('Claim Review'!$A$6:$A$2005,A85,'Claim Review'!$C$6:$C$2005,"&lt;&gt;",'Claim Review'!$G$6:$G$2005,"Missing citation"))</f>
        <v/>
      </c>
      <c r="N85" s="11">
        <f>IF(A85="","",COUNTIFS('Claim Review'!$A$6:$A$2005,A85,'Claim Review'!$C$6:$C$2005,"&lt;&gt;",'Claim Review'!$H$6:$H$2005,"Yes"))</f>
        <v/>
      </c>
      <c r="O85" s="11">
        <f>IF(A85="","",COUNTIFS('Claim Review'!$A$6:$A$2005,A85,'Claim Review'!$C$6:$C$2005,"&lt;&gt;"))</f>
        <v/>
      </c>
      <c r="P85" s="11">
        <f>IF(A85="","",COUNTIFS('Claim Review'!$A$6:$A$2005,A85,'Claim Review'!$C$6:$C$2005,"&lt;&gt;",'Claim Review'!$F$6:$F$2005,"Supported"))</f>
        <v/>
      </c>
      <c r="Q85" s="11">
        <f>IF(A85="","",O85-COUNTIFS('Claim Review'!$A$6:$A$2005,A85,'Claim Review'!$C$6:$C$2005,"&lt;&gt;",'Claim Review'!$K$6:$K$2005,"Yes"))</f>
        <v/>
      </c>
      <c r="R85" s="12">
        <f>IF(AND(A85&lt;&gt;"",COUNTIF($A$6:$A$205,A85)=1,COUNTIF('Test Cases'!$A$6:$A$205,B85)=1,I85&lt;&gt;"",J85&lt;&gt;"",OR(K85="Answered",K85="Clarification",K85="Abstained"),X85="Yes",T85&lt;&gt;"",O85&gt;0,Q85=0),P85/MAX(1,O85),"")</f>
        <v/>
      </c>
      <c r="S85" s="11">
        <f>IF(A85="","",IF(AND(J85="",K85=""),"Pending",IF(COUNTIF($A$6:$A$205,A85)&lt;&gt;1,"Duplicate Run ID",IF(COUNTIF('Test Cases'!$A$6:$A$205,B85)&lt;&gt;1,"Check Test ID",IF(K85="Error","FAIL",IF(OR(I85="",J85=""),"Needs evidence / answer",IF(NOT(OR(K85="Answered",K85="Clarification",K85="Abstained")),"Choose outcome",IF(X85&lt;&gt;"Yes","Confirm claim inventory",IF(AND(K85="Answered",O85=0),"Needs claims",IF(Q85&gt;0,"Needs claim review",IF(OR(NOT(OR(L85="Yes",L85="No")),T85=""),"Needs response review",IF(OR(L85="No",M85&gt;0,N85&gt;0,AND(ISNUMBER(R85),R85&lt;Dashboard!$B$5)),"FAIL","PASS"))))))))))))</f>
        <v/>
      </c>
      <c r="V85" s="11">
        <f>IF(B85="","",IFERROR(VLOOKUP(B85,'Test Cases'!$A$6:$J$205,7,FALSE),"Unknown Test ID"))</f>
        <v/>
      </c>
      <c r="W85" s="11">
        <f>IF(B85="","",IFERROR(VLOOKUP(B85,'Test Cases'!$A$6:$J$205,8,FALSE),"Unknown Test ID"))</f>
        <v/>
      </c>
    </row>
    <row r="86" spans="3:23">
      <c r="C86" s="11">
        <f>IF(B86="","",IFERROR(VLOOKUP(B86,'Test Cases'!$A$6:$J$205,2,FALSE),"Unknown Test ID"))</f>
        <v/>
      </c>
      <c r="D86" s="11">
        <f>IF(B86="","",IFERROR(VLOOKUP(B86,'Test Cases'!$A$6:$J$205,5,FALSE),"Unknown Test ID"))</f>
        <v/>
      </c>
      <c r="M86" s="11">
        <f>IF(A86="","",COUNTIFS('Claim Review'!$A$6:$A$2005,A86,'Claim Review'!$C$6:$C$2005,"&lt;&gt;",'Claim Review'!$G$6:$G$2005,"Wrong citation")+COUNTIFS('Claim Review'!$A$6:$A$2005,A86,'Claim Review'!$C$6:$C$2005,"&lt;&gt;",'Claim Review'!$G$6:$G$2005,"Missing citation"))</f>
        <v/>
      </c>
      <c r="N86" s="11">
        <f>IF(A86="","",COUNTIFS('Claim Review'!$A$6:$A$2005,A86,'Claim Review'!$C$6:$C$2005,"&lt;&gt;",'Claim Review'!$H$6:$H$2005,"Yes"))</f>
        <v/>
      </c>
      <c r="O86" s="11">
        <f>IF(A86="","",COUNTIFS('Claim Review'!$A$6:$A$2005,A86,'Claim Review'!$C$6:$C$2005,"&lt;&gt;"))</f>
        <v/>
      </c>
      <c r="P86" s="11">
        <f>IF(A86="","",COUNTIFS('Claim Review'!$A$6:$A$2005,A86,'Claim Review'!$C$6:$C$2005,"&lt;&gt;",'Claim Review'!$F$6:$F$2005,"Supported"))</f>
        <v/>
      </c>
      <c r="Q86" s="11">
        <f>IF(A86="","",O86-COUNTIFS('Claim Review'!$A$6:$A$2005,A86,'Claim Review'!$C$6:$C$2005,"&lt;&gt;",'Claim Review'!$K$6:$K$2005,"Yes"))</f>
        <v/>
      </c>
      <c r="R86" s="12">
        <f>IF(AND(A86&lt;&gt;"",COUNTIF($A$6:$A$205,A86)=1,COUNTIF('Test Cases'!$A$6:$A$205,B86)=1,I86&lt;&gt;"",J86&lt;&gt;"",OR(K86="Answered",K86="Clarification",K86="Abstained"),X86="Yes",T86&lt;&gt;"",O86&gt;0,Q86=0),P86/MAX(1,O86),"")</f>
        <v/>
      </c>
      <c r="S86" s="11">
        <f>IF(A86="","",IF(AND(J86="",K86=""),"Pending",IF(COUNTIF($A$6:$A$205,A86)&lt;&gt;1,"Duplicate Run ID",IF(COUNTIF('Test Cases'!$A$6:$A$205,B86)&lt;&gt;1,"Check Test ID",IF(K86="Error","FAIL",IF(OR(I86="",J86=""),"Needs evidence / answer",IF(NOT(OR(K86="Answered",K86="Clarification",K86="Abstained")),"Choose outcome",IF(X86&lt;&gt;"Yes","Confirm claim inventory",IF(AND(K86="Answered",O86=0),"Needs claims",IF(Q86&gt;0,"Needs claim review",IF(OR(NOT(OR(L86="Yes",L86="No")),T86=""),"Needs response review",IF(OR(L86="No",M86&gt;0,N86&gt;0,AND(ISNUMBER(R86),R86&lt;Dashboard!$B$5)),"FAIL","PASS"))))))))))))</f>
        <v/>
      </c>
      <c r="V86" s="11">
        <f>IF(B86="","",IFERROR(VLOOKUP(B86,'Test Cases'!$A$6:$J$205,7,FALSE),"Unknown Test ID"))</f>
        <v/>
      </c>
      <c r="W86" s="11">
        <f>IF(B86="","",IFERROR(VLOOKUP(B86,'Test Cases'!$A$6:$J$205,8,FALSE),"Unknown Test ID"))</f>
        <v/>
      </c>
    </row>
    <row r="87" spans="3:23">
      <c r="C87" s="11">
        <f>IF(B87="","",IFERROR(VLOOKUP(B87,'Test Cases'!$A$6:$J$205,2,FALSE),"Unknown Test ID"))</f>
        <v/>
      </c>
      <c r="D87" s="11">
        <f>IF(B87="","",IFERROR(VLOOKUP(B87,'Test Cases'!$A$6:$J$205,5,FALSE),"Unknown Test ID"))</f>
        <v/>
      </c>
      <c r="M87" s="11">
        <f>IF(A87="","",COUNTIFS('Claim Review'!$A$6:$A$2005,A87,'Claim Review'!$C$6:$C$2005,"&lt;&gt;",'Claim Review'!$G$6:$G$2005,"Wrong citation")+COUNTIFS('Claim Review'!$A$6:$A$2005,A87,'Claim Review'!$C$6:$C$2005,"&lt;&gt;",'Claim Review'!$G$6:$G$2005,"Missing citation"))</f>
        <v/>
      </c>
      <c r="N87" s="11">
        <f>IF(A87="","",COUNTIFS('Claim Review'!$A$6:$A$2005,A87,'Claim Review'!$C$6:$C$2005,"&lt;&gt;",'Claim Review'!$H$6:$H$2005,"Yes"))</f>
        <v/>
      </c>
      <c r="O87" s="11">
        <f>IF(A87="","",COUNTIFS('Claim Review'!$A$6:$A$2005,A87,'Claim Review'!$C$6:$C$2005,"&lt;&gt;"))</f>
        <v/>
      </c>
      <c r="P87" s="11">
        <f>IF(A87="","",COUNTIFS('Claim Review'!$A$6:$A$2005,A87,'Claim Review'!$C$6:$C$2005,"&lt;&gt;",'Claim Review'!$F$6:$F$2005,"Supported"))</f>
        <v/>
      </c>
      <c r="Q87" s="11">
        <f>IF(A87="","",O87-COUNTIFS('Claim Review'!$A$6:$A$2005,A87,'Claim Review'!$C$6:$C$2005,"&lt;&gt;",'Claim Review'!$K$6:$K$2005,"Yes"))</f>
        <v/>
      </c>
      <c r="R87" s="12">
        <f>IF(AND(A87&lt;&gt;"",COUNTIF($A$6:$A$205,A87)=1,COUNTIF('Test Cases'!$A$6:$A$205,B87)=1,I87&lt;&gt;"",J87&lt;&gt;"",OR(K87="Answered",K87="Clarification",K87="Abstained"),X87="Yes",T87&lt;&gt;"",O87&gt;0,Q87=0),P87/MAX(1,O87),"")</f>
        <v/>
      </c>
      <c r="S87" s="11">
        <f>IF(A87="","",IF(AND(J87="",K87=""),"Pending",IF(COUNTIF($A$6:$A$205,A87)&lt;&gt;1,"Duplicate Run ID",IF(COUNTIF('Test Cases'!$A$6:$A$205,B87)&lt;&gt;1,"Check Test ID",IF(K87="Error","FAIL",IF(OR(I87="",J87=""),"Needs evidence / answer",IF(NOT(OR(K87="Answered",K87="Clarification",K87="Abstained")),"Choose outcome",IF(X87&lt;&gt;"Yes","Confirm claim inventory",IF(AND(K87="Answered",O87=0),"Needs claims",IF(Q87&gt;0,"Needs claim review",IF(OR(NOT(OR(L87="Yes",L87="No")),T87=""),"Needs response review",IF(OR(L87="No",M87&gt;0,N87&gt;0,AND(ISNUMBER(R87),R87&lt;Dashboard!$B$5)),"FAIL","PASS"))))))))))))</f>
        <v/>
      </c>
      <c r="V87" s="11">
        <f>IF(B87="","",IFERROR(VLOOKUP(B87,'Test Cases'!$A$6:$J$205,7,FALSE),"Unknown Test ID"))</f>
        <v/>
      </c>
      <c r="W87" s="11">
        <f>IF(B87="","",IFERROR(VLOOKUP(B87,'Test Cases'!$A$6:$J$205,8,FALSE),"Unknown Test ID"))</f>
        <v/>
      </c>
    </row>
    <row r="88" spans="3:23">
      <c r="C88" s="11">
        <f>IF(B88="","",IFERROR(VLOOKUP(B88,'Test Cases'!$A$6:$J$205,2,FALSE),"Unknown Test ID"))</f>
        <v/>
      </c>
      <c r="D88" s="11">
        <f>IF(B88="","",IFERROR(VLOOKUP(B88,'Test Cases'!$A$6:$J$205,5,FALSE),"Unknown Test ID"))</f>
        <v/>
      </c>
      <c r="M88" s="11">
        <f>IF(A88="","",COUNTIFS('Claim Review'!$A$6:$A$2005,A88,'Claim Review'!$C$6:$C$2005,"&lt;&gt;",'Claim Review'!$G$6:$G$2005,"Wrong citation")+COUNTIFS('Claim Review'!$A$6:$A$2005,A88,'Claim Review'!$C$6:$C$2005,"&lt;&gt;",'Claim Review'!$G$6:$G$2005,"Missing citation"))</f>
        <v/>
      </c>
      <c r="N88" s="11">
        <f>IF(A88="","",COUNTIFS('Claim Review'!$A$6:$A$2005,A88,'Claim Review'!$C$6:$C$2005,"&lt;&gt;",'Claim Review'!$H$6:$H$2005,"Yes"))</f>
        <v/>
      </c>
      <c r="O88" s="11">
        <f>IF(A88="","",COUNTIFS('Claim Review'!$A$6:$A$2005,A88,'Claim Review'!$C$6:$C$2005,"&lt;&gt;"))</f>
        <v/>
      </c>
      <c r="P88" s="11">
        <f>IF(A88="","",COUNTIFS('Claim Review'!$A$6:$A$2005,A88,'Claim Review'!$C$6:$C$2005,"&lt;&gt;",'Claim Review'!$F$6:$F$2005,"Supported"))</f>
        <v/>
      </c>
      <c r="Q88" s="11">
        <f>IF(A88="","",O88-COUNTIFS('Claim Review'!$A$6:$A$2005,A88,'Claim Review'!$C$6:$C$2005,"&lt;&gt;",'Claim Review'!$K$6:$K$2005,"Yes"))</f>
        <v/>
      </c>
      <c r="R88" s="12">
        <f>IF(AND(A88&lt;&gt;"",COUNTIF($A$6:$A$205,A88)=1,COUNTIF('Test Cases'!$A$6:$A$205,B88)=1,I88&lt;&gt;"",J88&lt;&gt;"",OR(K88="Answered",K88="Clarification",K88="Abstained"),X88="Yes",T88&lt;&gt;"",O88&gt;0,Q88=0),P88/MAX(1,O88),"")</f>
        <v/>
      </c>
      <c r="S88" s="11">
        <f>IF(A88="","",IF(AND(J88="",K88=""),"Pending",IF(COUNTIF($A$6:$A$205,A88)&lt;&gt;1,"Duplicate Run ID",IF(COUNTIF('Test Cases'!$A$6:$A$205,B88)&lt;&gt;1,"Check Test ID",IF(K88="Error","FAIL",IF(OR(I88="",J88=""),"Needs evidence / answer",IF(NOT(OR(K88="Answered",K88="Clarification",K88="Abstained")),"Choose outcome",IF(X88&lt;&gt;"Yes","Confirm claim inventory",IF(AND(K88="Answered",O88=0),"Needs claims",IF(Q88&gt;0,"Needs claim review",IF(OR(NOT(OR(L88="Yes",L88="No")),T88=""),"Needs response review",IF(OR(L88="No",M88&gt;0,N88&gt;0,AND(ISNUMBER(R88),R88&lt;Dashboard!$B$5)),"FAIL","PASS"))))))))))))</f>
        <v/>
      </c>
      <c r="V88" s="11">
        <f>IF(B88="","",IFERROR(VLOOKUP(B88,'Test Cases'!$A$6:$J$205,7,FALSE),"Unknown Test ID"))</f>
        <v/>
      </c>
      <c r="W88" s="11">
        <f>IF(B88="","",IFERROR(VLOOKUP(B88,'Test Cases'!$A$6:$J$205,8,FALSE),"Unknown Test ID"))</f>
        <v/>
      </c>
    </row>
    <row r="89" spans="3:23">
      <c r="C89" s="11">
        <f>IF(B89="","",IFERROR(VLOOKUP(B89,'Test Cases'!$A$6:$J$205,2,FALSE),"Unknown Test ID"))</f>
        <v/>
      </c>
      <c r="D89" s="11">
        <f>IF(B89="","",IFERROR(VLOOKUP(B89,'Test Cases'!$A$6:$J$205,5,FALSE),"Unknown Test ID"))</f>
        <v/>
      </c>
      <c r="M89" s="11">
        <f>IF(A89="","",COUNTIFS('Claim Review'!$A$6:$A$2005,A89,'Claim Review'!$C$6:$C$2005,"&lt;&gt;",'Claim Review'!$G$6:$G$2005,"Wrong citation")+COUNTIFS('Claim Review'!$A$6:$A$2005,A89,'Claim Review'!$C$6:$C$2005,"&lt;&gt;",'Claim Review'!$G$6:$G$2005,"Missing citation"))</f>
        <v/>
      </c>
      <c r="N89" s="11">
        <f>IF(A89="","",COUNTIFS('Claim Review'!$A$6:$A$2005,A89,'Claim Review'!$C$6:$C$2005,"&lt;&gt;",'Claim Review'!$H$6:$H$2005,"Yes"))</f>
        <v/>
      </c>
      <c r="O89" s="11">
        <f>IF(A89="","",COUNTIFS('Claim Review'!$A$6:$A$2005,A89,'Claim Review'!$C$6:$C$2005,"&lt;&gt;"))</f>
        <v/>
      </c>
      <c r="P89" s="11">
        <f>IF(A89="","",COUNTIFS('Claim Review'!$A$6:$A$2005,A89,'Claim Review'!$C$6:$C$2005,"&lt;&gt;",'Claim Review'!$F$6:$F$2005,"Supported"))</f>
        <v/>
      </c>
      <c r="Q89" s="11">
        <f>IF(A89="","",O89-COUNTIFS('Claim Review'!$A$6:$A$2005,A89,'Claim Review'!$C$6:$C$2005,"&lt;&gt;",'Claim Review'!$K$6:$K$2005,"Yes"))</f>
        <v/>
      </c>
      <c r="R89" s="12">
        <f>IF(AND(A89&lt;&gt;"",COUNTIF($A$6:$A$205,A89)=1,COUNTIF('Test Cases'!$A$6:$A$205,B89)=1,I89&lt;&gt;"",J89&lt;&gt;"",OR(K89="Answered",K89="Clarification",K89="Abstained"),X89="Yes",T89&lt;&gt;"",O89&gt;0,Q89=0),P89/MAX(1,O89),"")</f>
        <v/>
      </c>
      <c r="S89" s="11">
        <f>IF(A89="","",IF(AND(J89="",K89=""),"Pending",IF(COUNTIF($A$6:$A$205,A89)&lt;&gt;1,"Duplicate Run ID",IF(COUNTIF('Test Cases'!$A$6:$A$205,B89)&lt;&gt;1,"Check Test ID",IF(K89="Error","FAIL",IF(OR(I89="",J89=""),"Needs evidence / answer",IF(NOT(OR(K89="Answered",K89="Clarification",K89="Abstained")),"Choose outcome",IF(X89&lt;&gt;"Yes","Confirm claim inventory",IF(AND(K89="Answered",O89=0),"Needs claims",IF(Q89&gt;0,"Needs claim review",IF(OR(NOT(OR(L89="Yes",L89="No")),T89=""),"Needs response review",IF(OR(L89="No",M89&gt;0,N89&gt;0,AND(ISNUMBER(R89),R89&lt;Dashboard!$B$5)),"FAIL","PASS"))))))))))))</f>
        <v/>
      </c>
      <c r="V89" s="11">
        <f>IF(B89="","",IFERROR(VLOOKUP(B89,'Test Cases'!$A$6:$J$205,7,FALSE),"Unknown Test ID"))</f>
        <v/>
      </c>
      <c r="W89" s="11">
        <f>IF(B89="","",IFERROR(VLOOKUP(B89,'Test Cases'!$A$6:$J$205,8,FALSE),"Unknown Test ID"))</f>
        <v/>
      </c>
    </row>
    <row r="90" spans="3:23">
      <c r="C90" s="11">
        <f>IF(B90="","",IFERROR(VLOOKUP(B90,'Test Cases'!$A$6:$J$205,2,FALSE),"Unknown Test ID"))</f>
        <v/>
      </c>
      <c r="D90" s="11">
        <f>IF(B90="","",IFERROR(VLOOKUP(B90,'Test Cases'!$A$6:$J$205,5,FALSE),"Unknown Test ID"))</f>
        <v/>
      </c>
      <c r="M90" s="11">
        <f>IF(A90="","",COUNTIFS('Claim Review'!$A$6:$A$2005,A90,'Claim Review'!$C$6:$C$2005,"&lt;&gt;",'Claim Review'!$G$6:$G$2005,"Wrong citation")+COUNTIFS('Claim Review'!$A$6:$A$2005,A90,'Claim Review'!$C$6:$C$2005,"&lt;&gt;",'Claim Review'!$G$6:$G$2005,"Missing citation"))</f>
        <v/>
      </c>
      <c r="N90" s="11">
        <f>IF(A90="","",COUNTIFS('Claim Review'!$A$6:$A$2005,A90,'Claim Review'!$C$6:$C$2005,"&lt;&gt;",'Claim Review'!$H$6:$H$2005,"Yes"))</f>
        <v/>
      </c>
      <c r="O90" s="11">
        <f>IF(A90="","",COUNTIFS('Claim Review'!$A$6:$A$2005,A90,'Claim Review'!$C$6:$C$2005,"&lt;&gt;"))</f>
        <v/>
      </c>
      <c r="P90" s="11">
        <f>IF(A90="","",COUNTIFS('Claim Review'!$A$6:$A$2005,A90,'Claim Review'!$C$6:$C$2005,"&lt;&gt;",'Claim Review'!$F$6:$F$2005,"Supported"))</f>
        <v/>
      </c>
      <c r="Q90" s="11">
        <f>IF(A90="","",O90-COUNTIFS('Claim Review'!$A$6:$A$2005,A90,'Claim Review'!$C$6:$C$2005,"&lt;&gt;",'Claim Review'!$K$6:$K$2005,"Yes"))</f>
        <v/>
      </c>
      <c r="R90" s="12">
        <f>IF(AND(A90&lt;&gt;"",COUNTIF($A$6:$A$205,A90)=1,COUNTIF('Test Cases'!$A$6:$A$205,B90)=1,I90&lt;&gt;"",J90&lt;&gt;"",OR(K90="Answered",K90="Clarification",K90="Abstained"),X90="Yes",T90&lt;&gt;"",O90&gt;0,Q90=0),P90/MAX(1,O90),"")</f>
        <v/>
      </c>
      <c r="S90" s="11">
        <f>IF(A90="","",IF(AND(J90="",K90=""),"Pending",IF(COUNTIF($A$6:$A$205,A90)&lt;&gt;1,"Duplicate Run ID",IF(COUNTIF('Test Cases'!$A$6:$A$205,B90)&lt;&gt;1,"Check Test ID",IF(K90="Error","FAIL",IF(OR(I90="",J90=""),"Needs evidence / answer",IF(NOT(OR(K90="Answered",K90="Clarification",K90="Abstained")),"Choose outcome",IF(X90&lt;&gt;"Yes","Confirm claim inventory",IF(AND(K90="Answered",O90=0),"Needs claims",IF(Q90&gt;0,"Needs claim review",IF(OR(NOT(OR(L90="Yes",L90="No")),T90=""),"Needs response review",IF(OR(L90="No",M90&gt;0,N90&gt;0,AND(ISNUMBER(R90),R90&lt;Dashboard!$B$5)),"FAIL","PASS"))))))))))))</f>
        <v/>
      </c>
      <c r="V90" s="11">
        <f>IF(B90="","",IFERROR(VLOOKUP(B90,'Test Cases'!$A$6:$J$205,7,FALSE),"Unknown Test ID"))</f>
        <v/>
      </c>
      <c r="W90" s="11">
        <f>IF(B90="","",IFERROR(VLOOKUP(B90,'Test Cases'!$A$6:$J$205,8,FALSE),"Unknown Test ID"))</f>
        <v/>
      </c>
    </row>
    <row r="91" spans="3:23">
      <c r="C91" s="11">
        <f>IF(B91="","",IFERROR(VLOOKUP(B91,'Test Cases'!$A$6:$J$205,2,FALSE),"Unknown Test ID"))</f>
        <v/>
      </c>
      <c r="D91" s="11">
        <f>IF(B91="","",IFERROR(VLOOKUP(B91,'Test Cases'!$A$6:$J$205,5,FALSE),"Unknown Test ID"))</f>
        <v/>
      </c>
      <c r="M91" s="11">
        <f>IF(A91="","",COUNTIFS('Claim Review'!$A$6:$A$2005,A91,'Claim Review'!$C$6:$C$2005,"&lt;&gt;",'Claim Review'!$G$6:$G$2005,"Wrong citation")+COUNTIFS('Claim Review'!$A$6:$A$2005,A91,'Claim Review'!$C$6:$C$2005,"&lt;&gt;",'Claim Review'!$G$6:$G$2005,"Missing citation"))</f>
        <v/>
      </c>
      <c r="N91" s="11">
        <f>IF(A91="","",COUNTIFS('Claim Review'!$A$6:$A$2005,A91,'Claim Review'!$C$6:$C$2005,"&lt;&gt;",'Claim Review'!$H$6:$H$2005,"Yes"))</f>
        <v/>
      </c>
      <c r="O91" s="11">
        <f>IF(A91="","",COUNTIFS('Claim Review'!$A$6:$A$2005,A91,'Claim Review'!$C$6:$C$2005,"&lt;&gt;"))</f>
        <v/>
      </c>
      <c r="P91" s="11">
        <f>IF(A91="","",COUNTIFS('Claim Review'!$A$6:$A$2005,A91,'Claim Review'!$C$6:$C$2005,"&lt;&gt;",'Claim Review'!$F$6:$F$2005,"Supported"))</f>
        <v/>
      </c>
      <c r="Q91" s="11">
        <f>IF(A91="","",O91-COUNTIFS('Claim Review'!$A$6:$A$2005,A91,'Claim Review'!$C$6:$C$2005,"&lt;&gt;",'Claim Review'!$K$6:$K$2005,"Yes"))</f>
        <v/>
      </c>
      <c r="R91" s="12">
        <f>IF(AND(A91&lt;&gt;"",COUNTIF($A$6:$A$205,A91)=1,COUNTIF('Test Cases'!$A$6:$A$205,B91)=1,I91&lt;&gt;"",J91&lt;&gt;"",OR(K91="Answered",K91="Clarification",K91="Abstained"),X91="Yes",T91&lt;&gt;"",O91&gt;0,Q91=0),P91/MAX(1,O91),"")</f>
        <v/>
      </c>
      <c r="S91" s="11">
        <f>IF(A91="","",IF(AND(J91="",K91=""),"Pending",IF(COUNTIF($A$6:$A$205,A91)&lt;&gt;1,"Duplicate Run ID",IF(COUNTIF('Test Cases'!$A$6:$A$205,B91)&lt;&gt;1,"Check Test ID",IF(K91="Error","FAIL",IF(OR(I91="",J91=""),"Needs evidence / answer",IF(NOT(OR(K91="Answered",K91="Clarification",K91="Abstained")),"Choose outcome",IF(X91&lt;&gt;"Yes","Confirm claim inventory",IF(AND(K91="Answered",O91=0),"Needs claims",IF(Q91&gt;0,"Needs claim review",IF(OR(NOT(OR(L91="Yes",L91="No")),T91=""),"Needs response review",IF(OR(L91="No",M91&gt;0,N91&gt;0,AND(ISNUMBER(R91),R91&lt;Dashboard!$B$5)),"FAIL","PASS"))))))))))))</f>
        <v/>
      </c>
      <c r="V91" s="11">
        <f>IF(B91="","",IFERROR(VLOOKUP(B91,'Test Cases'!$A$6:$J$205,7,FALSE),"Unknown Test ID"))</f>
        <v/>
      </c>
      <c r="W91" s="11">
        <f>IF(B91="","",IFERROR(VLOOKUP(B91,'Test Cases'!$A$6:$J$205,8,FALSE),"Unknown Test ID"))</f>
        <v/>
      </c>
    </row>
    <row r="92" spans="3:23">
      <c r="C92" s="11">
        <f>IF(B92="","",IFERROR(VLOOKUP(B92,'Test Cases'!$A$6:$J$205,2,FALSE),"Unknown Test ID"))</f>
        <v/>
      </c>
      <c r="D92" s="11">
        <f>IF(B92="","",IFERROR(VLOOKUP(B92,'Test Cases'!$A$6:$J$205,5,FALSE),"Unknown Test ID"))</f>
        <v/>
      </c>
      <c r="M92" s="11">
        <f>IF(A92="","",COUNTIFS('Claim Review'!$A$6:$A$2005,A92,'Claim Review'!$C$6:$C$2005,"&lt;&gt;",'Claim Review'!$G$6:$G$2005,"Wrong citation")+COUNTIFS('Claim Review'!$A$6:$A$2005,A92,'Claim Review'!$C$6:$C$2005,"&lt;&gt;",'Claim Review'!$G$6:$G$2005,"Missing citation"))</f>
        <v/>
      </c>
      <c r="N92" s="11">
        <f>IF(A92="","",COUNTIFS('Claim Review'!$A$6:$A$2005,A92,'Claim Review'!$C$6:$C$2005,"&lt;&gt;",'Claim Review'!$H$6:$H$2005,"Yes"))</f>
        <v/>
      </c>
      <c r="O92" s="11">
        <f>IF(A92="","",COUNTIFS('Claim Review'!$A$6:$A$2005,A92,'Claim Review'!$C$6:$C$2005,"&lt;&gt;"))</f>
        <v/>
      </c>
      <c r="P92" s="11">
        <f>IF(A92="","",COUNTIFS('Claim Review'!$A$6:$A$2005,A92,'Claim Review'!$C$6:$C$2005,"&lt;&gt;",'Claim Review'!$F$6:$F$2005,"Supported"))</f>
        <v/>
      </c>
      <c r="Q92" s="11">
        <f>IF(A92="","",O92-COUNTIFS('Claim Review'!$A$6:$A$2005,A92,'Claim Review'!$C$6:$C$2005,"&lt;&gt;",'Claim Review'!$K$6:$K$2005,"Yes"))</f>
        <v/>
      </c>
      <c r="R92" s="12">
        <f>IF(AND(A92&lt;&gt;"",COUNTIF($A$6:$A$205,A92)=1,COUNTIF('Test Cases'!$A$6:$A$205,B92)=1,I92&lt;&gt;"",J92&lt;&gt;"",OR(K92="Answered",K92="Clarification",K92="Abstained"),X92="Yes",T92&lt;&gt;"",O92&gt;0,Q92=0),P92/MAX(1,O92),"")</f>
        <v/>
      </c>
      <c r="S92" s="11">
        <f>IF(A92="","",IF(AND(J92="",K92=""),"Pending",IF(COUNTIF($A$6:$A$205,A92)&lt;&gt;1,"Duplicate Run ID",IF(COUNTIF('Test Cases'!$A$6:$A$205,B92)&lt;&gt;1,"Check Test ID",IF(K92="Error","FAIL",IF(OR(I92="",J92=""),"Needs evidence / answer",IF(NOT(OR(K92="Answered",K92="Clarification",K92="Abstained")),"Choose outcome",IF(X92&lt;&gt;"Yes","Confirm claim inventory",IF(AND(K92="Answered",O92=0),"Needs claims",IF(Q92&gt;0,"Needs claim review",IF(OR(NOT(OR(L92="Yes",L92="No")),T92=""),"Needs response review",IF(OR(L92="No",M92&gt;0,N92&gt;0,AND(ISNUMBER(R92),R92&lt;Dashboard!$B$5)),"FAIL","PASS"))))))))))))</f>
        <v/>
      </c>
      <c r="V92" s="11">
        <f>IF(B92="","",IFERROR(VLOOKUP(B92,'Test Cases'!$A$6:$J$205,7,FALSE),"Unknown Test ID"))</f>
        <v/>
      </c>
      <c r="W92" s="11">
        <f>IF(B92="","",IFERROR(VLOOKUP(B92,'Test Cases'!$A$6:$J$205,8,FALSE),"Unknown Test ID"))</f>
        <v/>
      </c>
    </row>
    <row r="93" spans="3:23">
      <c r="C93" s="11">
        <f>IF(B93="","",IFERROR(VLOOKUP(B93,'Test Cases'!$A$6:$J$205,2,FALSE),"Unknown Test ID"))</f>
        <v/>
      </c>
      <c r="D93" s="11">
        <f>IF(B93="","",IFERROR(VLOOKUP(B93,'Test Cases'!$A$6:$J$205,5,FALSE),"Unknown Test ID"))</f>
        <v/>
      </c>
      <c r="M93" s="11">
        <f>IF(A93="","",COUNTIFS('Claim Review'!$A$6:$A$2005,A93,'Claim Review'!$C$6:$C$2005,"&lt;&gt;",'Claim Review'!$G$6:$G$2005,"Wrong citation")+COUNTIFS('Claim Review'!$A$6:$A$2005,A93,'Claim Review'!$C$6:$C$2005,"&lt;&gt;",'Claim Review'!$G$6:$G$2005,"Missing citation"))</f>
        <v/>
      </c>
      <c r="N93" s="11">
        <f>IF(A93="","",COUNTIFS('Claim Review'!$A$6:$A$2005,A93,'Claim Review'!$C$6:$C$2005,"&lt;&gt;",'Claim Review'!$H$6:$H$2005,"Yes"))</f>
        <v/>
      </c>
      <c r="O93" s="11">
        <f>IF(A93="","",COUNTIFS('Claim Review'!$A$6:$A$2005,A93,'Claim Review'!$C$6:$C$2005,"&lt;&gt;"))</f>
        <v/>
      </c>
      <c r="P93" s="11">
        <f>IF(A93="","",COUNTIFS('Claim Review'!$A$6:$A$2005,A93,'Claim Review'!$C$6:$C$2005,"&lt;&gt;",'Claim Review'!$F$6:$F$2005,"Supported"))</f>
        <v/>
      </c>
      <c r="Q93" s="11">
        <f>IF(A93="","",O93-COUNTIFS('Claim Review'!$A$6:$A$2005,A93,'Claim Review'!$C$6:$C$2005,"&lt;&gt;",'Claim Review'!$K$6:$K$2005,"Yes"))</f>
        <v/>
      </c>
      <c r="R93" s="12">
        <f>IF(AND(A93&lt;&gt;"",COUNTIF($A$6:$A$205,A93)=1,COUNTIF('Test Cases'!$A$6:$A$205,B93)=1,I93&lt;&gt;"",J93&lt;&gt;"",OR(K93="Answered",K93="Clarification",K93="Abstained"),X93="Yes",T93&lt;&gt;"",O93&gt;0,Q93=0),P93/MAX(1,O93),"")</f>
        <v/>
      </c>
      <c r="S93" s="11">
        <f>IF(A93="","",IF(AND(J93="",K93=""),"Pending",IF(COUNTIF($A$6:$A$205,A93)&lt;&gt;1,"Duplicate Run ID",IF(COUNTIF('Test Cases'!$A$6:$A$205,B93)&lt;&gt;1,"Check Test ID",IF(K93="Error","FAIL",IF(OR(I93="",J93=""),"Needs evidence / answer",IF(NOT(OR(K93="Answered",K93="Clarification",K93="Abstained")),"Choose outcome",IF(X93&lt;&gt;"Yes","Confirm claim inventory",IF(AND(K93="Answered",O93=0),"Needs claims",IF(Q93&gt;0,"Needs claim review",IF(OR(NOT(OR(L93="Yes",L93="No")),T93=""),"Needs response review",IF(OR(L93="No",M93&gt;0,N93&gt;0,AND(ISNUMBER(R93),R93&lt;Dashboard!$B$5)),"FAIL","PASS"))))))))))))</f>
        <v/>
      </c>
      <c r="V93" s="11">
        <f>IF(B93="","",IFERROR(VLOOKUP(B93,'Test Cases'!$A$6:$J$205,7,FALSE),"Unknown Test ID"))</f>
        <v/>
      </c>
      <c r="W93" s="11">
        <f>IF(B93="","",IFERROR(VLOOKUP(B93,'Test Cases'!$A$6:$J$205,8,FALSE),"Unknown Test ID"))</f>
        <v/>
      </c>
    </row>
    <row r="94" spans="3:23">
      <c r="C94" s="11">
        <f>IF(B94="","",IFERROR(VLOOKUP(B94,'Test Cases'!$A$6:$J$205,2,FALSE),"Unknown Test ID"))</f>
        <v/>
      </c>
      <c r="D94" s="11">
        <f>IF(B94="","",IFERROR(VLOOKUP(B94,'Test Cases'!$A$6:$J$205,5,FALSE),"Unknown Test ID"))</f>
        <v/>
      </c>
      <c r="M94" s="11">
        <f>IF(A94="","",COUNTIFS('Claim Review'!$A$6:$A$2005,A94,'Claim Review'!$C$6:$C$2005,"&lt;&gt;",'Claim Review'!$G$6:$G$2005,"Wrong citation")+COUNTIFS('Claim Review'!$A$6:$A$2005,A94,'Claim Review'!$C$6:$C$2005,"&lt;&gt;",'Claim Review'!$G$6:$G$2005,"Missing citation"))</f>
        <v/>
      </c>
      <c r="N94" s="11">
        <f>IF(A94="","",COUNTIFS('Claim Review'!$A$6:$A$2005,A94,'Claim Review'!$C$6:$C$2005,"&lt;&gt;",'Claim Review'!$H$6:$H$2005,"Yes"))</f>
        <v/>
      </c>
      <c r="O94" s="11">
        <f>IF(A94="","",COUNTIFS('Claim Review'!$A$6:$A$2005,A94,'Claim Review'!$C$6:$C$2005,"&lt;&gt;"))</f>
        <v/>
      </c>
      <c r="P94" s="11">
        <f>IF(A94="","",COUNTIFS('Claim Review'!$A$6:$A$2005,A94,'Claim Review'!$C$6:$C$2005,"&lt;&gt;",'Claim Review'!$F$6:$F$2005,"Supported"))</f>
        <v/>
      </c>
      <c r="Q94" s="11">
        <f>IF(A94="","",O94-COUNTIFS('Claim Review'!$A$6:$A$2005,A94,'Claim Review'!$C$6:$C$2005,"&lt;&gt;",'Claim Review'!$K$6:$K$2005,"Yes"))</f>
        <v/>
      </c>
      <c r="R94" s="12">
        <f>IF(AND(A94&lt;&gt;"",COUNTIF($A$6:$A$205,A94)=1,COUNTIF('Test Cases'!$A$6:$A$205,B94)=1,I94&lt;&gt;"",J94&lt;&gt;"",OR(K94="Answered",K94="Clarification",K94="Abstained"),X94="Yes",T94&lt;&gt;"",O94&gt;0,Q94=0),P94/MAX(1,O94),"")</f>
        <v/>
      </c>
      <c r="S94" s="11">
        <f>IF(A94="","",IF(AND(J94="",K94=""),"Pending",IF(COUNTIF($A$6:$A$205,A94)&lt;&gt;1,"Duplicate Run ID",IF(COUNTIF('Test Cases'!$A$6:$A$205,B94)&lt;&gt;1,"Check Test ID",IF(K94="Error","FAIL",IF(OR(I94="",J94=""),"Needs evidence / answer",IF(NOT(OR(K94="Answered",K94="Clarification",K94="Abstained")),"Choose outcome",IF(X94&lt;&gt;"Yes","Confirm claim inventory",IF(AND(K94="Answered",O94=0),"Needs claims",IF(Q94&gt;0,"Needs claim review",IF(OR(NOT(OR(L94="Yes",L94="No")),T94=""),"Needs response review",IF(OR(L94="No",M94&gt;0,N94&gt;0,AND(ISNUMBER(R94),R94&lt;Dashboard!$B$5)),"FAIL","PASS"))))))))))))</f>
        <v/>
      </c>
      <c r="V94" s="11">
        <f>IF(B94="","",IFERROR(VLOOKUP(B94,'Test Cases'!$A$6:$J$205,7,FALSE),"Unknown Test ID"))</f>
        <v/>
      </c>
      <c r="W94" s="11">
        <f>IF(B94="","",IFERROR(VLOOKUP(B94,'Test Cases'!$A$6:$J$205,8,FALSE),"Unknown Test ID"))</f>
        <v/>
      </c>
    </row>
    <row r="95" spans="3:23">
      <c r="C95" s="11">
        <f>IF(B95="","",IFERROR(VLOOKUP(B95,'Test Cases'!$A$6:$J$205,2,FALSE),"Unknown Test ID"))</f>
        <v/>
      </c>
      <c r="D95" s="11">
        <f>IF(B95="","",IFERROR(VLOOKUP(B95,'Test Cases'!$A$6:$J$205,5,FALSE),"Unknown Test ID"))</f>
        <v/>
      </c>
      <c r="M95" s="11">
        <f>IF(A95="","",COUNTIFS('Claim Review'!$A$6:$A$2005,A95,'Claim Review'!$C$6:$C$2005,"&lt;&gt;",'Claim Review'!$G$6:$G$2005,"Wrong citation")+COUNTIFS('Claim Review'!$A$6:$A$2005,A95,'Claim Review'!$C$6:$C$2005,"&lt;&gt;",'Claim Review'!$G$6:$G$2005,"Missing citation"))</f>
        <v/>
      </c>
      <c r="N95" s="11">
        <f>IF(A95="","",COUNTIFS('Claim Review'!$A$6:$A$2005,A95,'Claim Review'!$C$6:$C$2005,"&lt;&gt;",'Claim Review'!$H$6:$H$2005,"Yes"))</f>
        <v/>
      </c>
      <c r="O95" s="11">
        <f>IF(A95="","",COUNTIFS('Claim Review'!$A$6:$A$2005,A95,'Claim Review'!$C$6:$C$2005,"&lt;&gt;"))</f>
        <v/>
      </c>
      <c r="P95" s="11">
        <f>IF(A95="","",COUNTIFS('Claim Review'!$A$6:$A$2005,A95,'Claim Review'!$C$6:$C$2005,"&lt;&gt;",'Claim Review'!$F$6:$F$2005,"Supported"))</f>
        <v/>
      </c>
      <c r="Q95" s="11">
        <f>IF(A95="","",O95-COUNTIFS('Claim Review'!$A$6:$A$2005,A95,'Claim Review'!$C$6:$C$2005,"&lt;&gt;",'Claim Review'!$K$6:$K$2005,"Yes"))</f>
        <v/>
      </c>
      <c r="R95" s="12">
        <f>IF(AND(A95&lt;&gt;"",COUNTIF($A$6:$A$205,A95)=1,COUNTIF('Test Cases'!$A$6:$A$205,B95)=1,I95&lt;&gt;"",J95&lt;&gt;"",OR(K95="Answered",K95="Clarification",K95="Abstained"),X95="Yes",T95&lt;&gt;"",O95&gt;0,Q95=0),P95/MAX(1,O95),"")</f>
        <v/>
      </c>
      <c r="S95" s="11">
        <f>IF(A95="","",IF(AND(J95="",K95=""),"Pending",IF(COUNTIF($A$6:$A$205,A95)&lt;&gt;1,"Duplicate Run ID",IF(COUNTIF('Test Cases'!$A$6:$A$205,B95)&lt;&gt;1,"Check Test ID",IF(K95="Error","FAIL",IF(OR(I95="",J95=""),"Needs evidence / answer",IF(NOT(OR(K95="Answered",K95="Clarification",K95="Abstained")),"Choose outcome",IF(X95&lt;&gt;"Yes","Confirm claim inventory",IF(AND(K95="Answered",O95=0),"Needs claims",IF(Q95&gt;0,"Needs claim review",IF(OR(NOT(OR(L95="Yes",L95="No")),T95=""),"Needs response review",IF(OR(L95="No",M95&gt;0,N95&gt;0,AND(ISNUMBER(R95),R95&lt;Dashboard!$B$5)),"FAIL","PASS"))))))))))))</f>
        <v/>
      </c>
      <c r="V95" s="11">
        <f>IF(B95="","",IFERROR(VLOOKUP(B95,'Test Cases'!$A$6:$J$205,7,FALSE),"Unknown Test ID"))</f>
        <v/>
      </c>
      <c r="W95" s="11">
        <f>IF(B95="","",IFERROR(VLOOKUP(B95,'Test Cases'!$A$6:$J$205,8,FALSE),"Unknown Test ID"))</f>
        <v/>
      </c>
    </row>
    <row r="96" spans="3:23">
      <c r="C96" s="11">
        <f>IF(B96="","",IFERROR(VLOOKUP(B96,'Test Cases'!$A$6:$J$205,2,FALSE),"Unknown Test ID"))</f>
        <v/>
      </c>
      <c r="D96" s="11">
        <f>IF(B96="","",IFERROR(VLOOKUP(B96,'Test Cases'!$A$6:$J$205,5,FALSE),"Unknown Test ID"))</f>
        <v/>
      </c>
      <c r="M96" s="11">
        <f>IF(A96="","",COUNTIFS('Claim Review'!$A$6:$A$2005,A96,'Claim Review'!$C$6:$C$2005,"&lt;&gt;",'Claim Review'!$G$6:$G$2005,"Wrong citation")+COUNTIFS('Claim Review'!$A$6:$A$2005,A96,'Claim Review'!$C$6:$C$2005,"&lt;&gt;",'Claim Review'!$G$6:$G$2005,"Missing citation"))</f>
        <v/>
      </c>
      <c r="N96" s="11">
        <f>IF(A96="","",COUNTIFS('Claim Review'!$A$6:$A$2005,A96,'Claim Review'!$C$6:$C$2005,"&lt;&gt;",'Claim Review'!$H$6:$H$2005,"Yes"))</f>
        <v/>
      </c>
      <c r="O96" s="11">
        <f>IF(A96="","",COUNTIFS('Claim Review'!$A$6:$A$2005,A96,'Claim Review'!$C$6:$C$2005,"&lt;&gt;"))</f>
        <v/>
      </c>
      <c r="P96" s="11">
        <f>IF(A96="","",COUNTIFS('Claim Review'!$A$6:$A$2005,A96,'Claim Review'!$C$6:$C$2005,"&lt;&gt;",'Claim Review'!$F$6:$F$2005,"Supported"))</f>
        <v/>
      </c>
      <c r="Q96" s="11">
        <f>IF(A96="","",O96-COUNTIFS('Claim Review'!$A$6:$A$2005,A96,'Claim Review'!$C$6:$C$2005,"&lt;&gt;",'Claim Review'!$K$6:$K$2005,"Yes"))</f>
        <v/>
      </c>
      <c r="R96" s="12">
        <f>IF(AND(A96&lt;&gt;"",COUNTIF($A$6:$A$205,A96)=1,COUNTIF('Test Cases'!$A$6:$A$205,B96)=1,I96&lt;&gt;"",J96&lt;&gt;"",OR(K96="Answered",K96="Clarification",K96="Abstained"),X96="Yes",T96&lt;&gt;"",O96&gt;0,Q96=0),P96/MAX(1,O96),"")</f>
        <v/>
      </c>
      <c r="S96" s="11">
        <f>IF(A96="","",IF(AND(J96="",K96=""),"Pending",IF(COUNTIF($A$6:$A$205,A96)&lt;&gt;1,"Duplicate Run ID",IF(COUNTIF('Test Cases'!$A$6:$A$205,B96)&lt;&gt;1,"Check Test ID",IF(K96="Error","FAIL",IF(OR(I96="",J96=""),"Needs evidence / answer",IF(NOT(OR(K96="Answered",K96="Clarification",K96="Abstained")),"Choose outcome",IF(X96&lt;&gt;"Yes","Confirm claim inventory",IF(AND(K96="Answered",O96=0),"Needs claims",IF(Q96&gt;0,"Needs claim review",IF(OR(NOT(OR(L96="Yes",L96="No")),T96=""),"Needs response review",IF(OR(L96="No",M96&gt;0,N96&gt;0,AND(ISNUMBER(R96),R96&lt;Dashboard!$B$5)),"FAIL","PASS"))))))))))))</f>
        <v/>
      </c>
      <c r="V96" s="11">
        <f>IF(B96="","",IFERROR(VLOOKUP(B96,'Test Cases'!$A$6:$J$205,7,FALSE),"Unknown Test ID"))</f>
        <v/>
      </c>
      <c r="W96" s="11">
        <f>IF(B96="","",IFERROR(VLOOKUP(B96,'Test Cases'!$A$6:$J$205,8,FALSE),"Unknown Test ID"))</f>
        <v/>
      </c>
    </row>
    <row r="97" spans="3:23">
      <c r="C97" s="11">
        <f>IF(B97="","",IFERROR(VLOOKUP(B97,'Test Cases'!$A$6:$J$205,2,FALSE),"Unknown Test ID"))</f>
        <v/>
      </c>
      <c r="D97" s="11">
        <f>IF(B97="","",IFERROR(VLOOKUP(B97,'Test Cases'!$A$6:$J$205,5,FALSE),"Unknown Test ID"))</f>
        <v/>
      </c>
      <c r="M97" s="11">
        <f>IF(A97="","",COUNTIFS('Claim Review'!$A$6:$A$2005,A97,'Claim Review'!$C$6:$C$2005,"&lt;&gt;",'Claim Review'!$G$6:$G$2005,"Wrong citation")+COUNTIFS('Claim Review'!$A$6:$A$2005,A97,'Claim Review'!$C$6:$C$2005,"&lt;&gt;",'Claim Review'!$G$6:$G$2005,"Missing citation"))</f>
        <v/>
      </c>
      <c r="N97" s="11">
        <f>IF(A97="","",COUNTIFS('Claim Review'!$A$6:$A$2005,A97,'Claim Review'!$C$6:$C$2005,"&lt;&gt;",'Claim Review'!$H$6:$H$2005,"Yes"))</f>
        <v/>
      </c>
      <c r="O97" s="11">
        <f>IF(A97="","",COUNTIFS('Claim Review'!$A$6:$A$2005,A97,'Claim Review'!$C$6:$C$2005,"&lt;&gt;"))</f>
        <v/>
      </c>
      <c r="P97" s="11">
        <f>IF(A97="","",COUNTIFS('Claim Review'!$A$6:$A$2005,A97,'Claim Review'!$C$6:$C$2005,"&lt;&gt;",'Claim Review'!$F$6:$F$2005,"Supported"))</f>
        <v/>
      </c>
      <c r="Q97" s="11">
        <f>IF(A97="","",O97-COUNTIFS('Claim Review'!$A$6:$A$2005,A97,'Claim Review'!$C$6:$C$2005,"&lt;&gt;",'Claim Review'!$K$6:$K$2005,"Yes"))</f>
        <v/>
      </c>
      <c r="R97" s="12">
        <f>IF(AND(A97&lt;&gt;"",COUNTIF($A$6:$A$205,A97)=1,COUNTIF('Test Cases'!$A$6:$A$205,B97)=1,I97&lt;&gt;"",J97&lt;&gt;"",OR(K97="Answered",K97="Clarification",K97="Abstained"),X97="Yes",T97&lt;&gt;"",O97&gt;0,Q97=0),P97/MAX(1,O97),"")</f>
        <v/>
      </c>
      <c r="S97" s="11">
        <f>IF(A97="","",IF(AND(J97="",K97=""),"Pending",IF(COUNTIF($A$6:$A$205,A97)&lt;&gt;1,"Duplicate Run ID",IF(COUNTIF('Test Cases'!$A$6:$A$205,B97)&lt;&gt;1,"Check Test ID",IF(K97="Error","FAIL",IF(OR(I97="",J97=""),"Needs evidence / answer",IF(NOT(OR(K97="Answered",K97="Clarification",K97="Abstained")),"Choose outcome",IF(X97&lt;&gt;"Yes","Confirm claim inventory",IF(AND(K97="Answered",O97=0),"Needs claims",IF(Q97&gt;0,"Needs claim review",IF(OR(NOT(OR(L97="Yes",L97="No")),T97=""),"Needs response review",IF(OR(L97="No",M97&gt;0,N97&gt;0,AND(ISNUMBER(R97),R97&lt;Dashboard!$B$5)),"FAIL","PASS"))))))))))))</f>
        <v/>
      </c>
      <c r="V97" s="11">
        <f>IF(B97="","",IFERROR(VLOOKUP(B97,'Test Cases'!$A$6:$J$205,7,FALSE),"Unknown Test ID"))</f>
        <v/>
      </c>
      <c r="W97" s="11">
        <f>IF(B97="","",IFERROR(VLOOKUP(B97,'Test Cases'!$A$6:$J$205,8,FALSE),"Unknown Test ID"))</f>
        <v/>
      </c>
    </row>
    <row r="98" spans="3:23">
      <c r="C98" s="11">
        <f>IF(B98="","",IFERROR(VLOOKUP(B98,'Test Cases'!$A$6:$J$205,2,FALSE),"Unknown Test ID"))</f>
        <v/>
      </c>
      <c r="D98" s="11">
        <f>IF(B98="","",IFERROR(VLOOKUP(B98,'Test Cases'!$A$6:$J$205,5,FALSE),"Unknown Test ID"))</f>
        <v/>
      </c>
      <c r="M98" s="11">
        <f>IF(A98="","",COUNTIFS('Claim Review'!$A$6:$A$2005,A98,'Claim Review'!$C$6:$C$2005,"&lt;&gt;",'Claim Review'!$G$6:$G$2005,"Wrong citation")+COUNTIFS('Claim Review'!$A$6:$A$2005,A98,'Claim Review'!$C$6:$C$2005,"&lt;&gt;",'Claim Review'!$G$6:$G$2005,"Missing citation"))</f>
        <v/>
      </c>
      <c r="N98" s="11">
        <f>IF(A98="","",COUNTIFS('Claim Review'!$A$6:$A$2005,A98,'Claim Review'!$C$6:$C$2005,"&lt;&gt;",'Claim Review'!$H$6:$H$2005,"Yes"))</f>
        <v/>
      </c>
      <c r="O98" s="11">
        <f>IF(A98="","",COUNTIFS('Claim Review'!$A$6:$A$2005,A98,'Claim Review'!$C$6:$C$2005,"&lt;&gt;"))</f>
        <v/>
      </c>
      <c r="P98" s="11">
        <f>IF(A98="","",COUNTIFS('Claim Review'!$A$6:$A$2005,A98,'Claim Review'!$C$6:$C$2005,"&lt;&gt;",'Claim Review'!$F$6:$F$2005,"Supported"))</f>
        <v/>
      </c>
      <c r="Q98" s="11">
        <f>IF(A98="","",O98-COUNTIFS('Claim Review'!$A$6:$A$2005,A98,'Claim Review'!$C$6:$C$2005,"&lt;&gt;",'Claim Review'!$K$6:$K$2005,"Yes"))</f>
        <v/>
      </c>
      <c r="R98" s="12">
        <f>IF(AND(A98&lt;&gt;"",COUNTIF($A$6:$A$205,A98)=1,COUNTIF('Test Cases'!$A$6:$A$205,B98)=1,I98&lt;&gt;"",J98&lt;&gt;"",OR(K98="Answered",K98="Clarification",K98="Abstained"),X98="Yes",T98&lt;&gt;"",O98&gt;0,Q98=0),P98/MAX(1,O98),"")</f>
        <v/>
      </c>
      <c r="S98" s="11">
        <f>IF(A98="","",IF(AND(J98="",K98=""),"Pending",IF(COUNTIF($A$6:$A$205,A98)&lt;&gt;1,"Duplicate Run ID",IF(COUNTIF('Test Cases'!$A$6:$A$205,B98)&lt;&gt;1,"Check Test ID",IF(K98="Error","FAIL",IF(OR(I98="",J98=""),"Needs evidence / answer",IF(NOT(OR(K98="Answered",K98="Clarification",K98="Abstained")),"Choose outcome",IF(X98&lt;&gt;"Yes","Confirm claim inventory",IF(AND(K98="Answered",O98=0),"Needs claims",IF(Q98&gt;0,"Needs claim review",IF(OR(NOT(OR(L98="Yes",L98="No")),T98=""),"Needs response review",IF(OR(L98="No",M98&gt;0,N98&gt;0,AND(ISNUMBER(R98),R98&lt;Dashboard!$B$5)),"FAIL","PASS"))))))))))))</f>
        <v/>
      </c>
      <c r="V98" s="11">
        <f>IF(B98="","",IFERROR(VLOOKUP(B98,'Test Cases'!$A$6:$J$205,7,FALSE),"Unknown Test ID"))</f>
        <v/>
      </c>
      <c r="W98" s="11">
        <f>IF(B98="","",IFERROR(VLOOKUP(B98,'Test Cases'!$A$6:$J$205,8,FALSE),"Unknown Test ID"))</f>
        <v/>
      </c>
    </row>
    <row r="99" spans="3:23">
      <c r="C99" s="11">
        <f>IF(B99="","",IFERROR(VLOOKUP(B99,'Test Cases'!$A$6:$J$205,2,FALSE),"Unknown Test ID"))</f>
        <v/>
      </c>
      <c r="D99" s="11">
        <f>IF(B99="","",IFERROR(VLOOKUP(B99,'Test Cases'!$A$6:$J$205,5,FALSE),"Unknown Test ID"))</f>
        <v/>
      </c>
      <c r="M99" s="11">
        <f>IF(A99="","",COUNTIFS('Claim Review'!$A$6:$A$2005,A99,'Claim Review'!$C$6:$C$2005,"&lt;&gt;",'Claim Review'!$G$6:$G$2005,"Wrong citation")+COUNTIFS('Claim Review'!$A$6:$A$2005,A99,'Claim Review'!$C$6:$C$2005,"&lt;&gt;",'Claim Review'!$G$6:$G$2005,"Missing citation"))</f>
        <v/>
      </c>
      <c r="N99" s="11">
        <f>IF(A99="","",COUNTIFS('Claim Review'!$A$6:$A$2005,A99,'Claim Review'!$C$6:$C$2005,"&lt;&gt;",'Claim Review'!$H$6:$H$2005,"Yes"))</f>
        <v/>
      </c>
      <c r="O99" s="11">
        <f>IF(A99="","",COUNTIFS('Claim Review'!$A$6:$A$2005,A99,'Claim Review'!$C$6:$C$2005,"&lt;&gt;"))</f>
        <v/>
      </c>
      <c r="P99" s="11">
        <f>IF(A99="","",COUNTIFS('Claim Review'!$A$6:$A$2005,A99,'Claim Review'!$C$6:$C$2005,"&lt;&gt;",'Claim Review'!$F$6:$F$2005,"Supported"))</f>
        <v/>
      </c>
      <c r="Q99" s="11">
        <f>IF(A99="","",O99-COUNTIFS('Claim Review'!$A$6:$A$2005,A99,'Claim Review'!$C$6:$C$2005,"&lt;&gt;",'Claim Review'!$K$6:$K$2005,"Yes"))</f>
        <v/>
      </c>
      <c r="R99" s="12">
        <f>IF(AND(A99&lt;&gt;"",COUNTIF($A$6:$A$205,A99)=1,COUNTIF('Test Cases'!$A$6:$A$205,B99)=1,I99&lt;&gt;"",J99&lt;&gt;"",OR(K99="Answered",K99="Clarification",K99="Abstained"),X99="Yes",T99&lt;&gt;"",O99&gt;0,Q99=0),P99/MAX(1,O99),"")</f>
        <v/>
      </c>
      <c r="S99" s="11">
        <f>IF(A99="","",IF(AND(J99="",K99=""),"Pending",IF(COUNTIF($A$6:$A$205,A99)&lt;&gt;1,"Duplicate Run ID",IF(COUNTIF('Test Cases'!$A$6:$A$205,B99)&lt;&gt;1,"Check Test ID",IF(K99="Error","FAIL",IF(OR(I99="",J99=""),"Needs evidence / answer",IF(NOT(OR(K99="Answered",K99="Clarification",K99="Abstained")),"Choose outcome",IF(X99&lt;&gt;"Yes","Confirm claim inventory",IF(AND(K99="Answered",O99=0),"Needs claims",IF(Q99&gt;0,"Needs claim review",IF(OR(NOT(OR(L99="Yes",L99="No")),T99=""),"Needs response review",IF(OR(L99="No",M99&gt;0,N99&gt;0,AND(ISNUMBER(R99),R99&lt;Dashboard!$B$5)),"FAIL","PASS"))))))))))))</f>
        <v/>
      </c>
      <c r="V99" s="11">
        <f>IF(B99="","",IFERROR(VLOOKUP(B99,'Test Cases'!$A$6:$J$205,7,FALSE),"Unknown Test ID"))</f>
        <v/>
      </c>
      <c r="W99" s="11">
        <f>IF(B99="","",IFERROR(VLOOKUP(B99,'Test Cases'!$A$6:$J$205,8,FALSE),"Unknown Test ID"))</f>
        <v/>
      </c>
    </row>
    <row r="100" spans="3:23">
      <c r="C100" s="11">
        <f>IF(B100="","",IFERROR(VLOOKUP(B100,'Test Cases'!$A$6:$J$205,2,FALSE),"Unknown Test ID"))</f>
        <v/>
      </c>
      <c r="D100" s="11">
        <f>IF(B100="","",IFERROR(VLOOKUP(B100,'Test Cases'!$A$6:$J$205,5,FALSE),"Unknown Test ID"))</f>
        <v/>
      </c>
      <c r="M100" s="11">
        <f>IF(A100="","",COUNTIFS('Claim Review'!$A$6:$A$2005,A100,'Claim Review'!$C$6:$C$2005,"&lt;&gt;",'Claim Review'!$G$6:$G$2005,"Wrong citation")+COUNTIFS('Claim Review'!$A$6:$A$2005,A100,'Claim Review'!$C$6:$C$2005,"&lt;&gt;",'Claim Review'!$G$6:$G$2005,"Missing citation"))</f>
        <v/>
      </c>
      <c r="N100" s="11">
        <f>IF(A100="","",COUNTIFS('Claim Review'!$A$6:$A$2005,A100,'Claim Review'!$C$6:$C$2005,"&lt;&gt;",'Claim Review'!$H$6:$H$2005,"Yes"))</f>
        <v/>
      </c>
      <c r="O100" s="11">
        <f>IF(A100="","",COUNTIFS('Claim Review'!$A$6:$A$2005,A100,'Claim Review'!$C$6:$C$2005,"&lt;&gt;"))</f>
        <v/>
      </c>
      <c r="P100" s="11">
        <f>IF(A100="","",COUNTIFS('Claim Review'!$A$6:$A$2005,A100,'Claim Review'!$C$6:$C$2005,"&lt;&gt;",'Claim Review'!$F$6:$F$2005,"Supported"))</f>
        <v/>
      </c>
      <c r="Q100" s="11">
        <f>IF(A100="","",O100-COUNTIFS('Claim Review'!$A$6:$A$2005,A100,'Claim Review'!$C$6:$C$2005,"&lt;&gt;",'Claim Review'!$K$6:$K$2005,"Yes"))</f>
        <v/>
      </c>
      <c r="R100" s="12">
        <f>IF(AND(A100&lt;&gt;"",COUNTIF($A$6:$A$205,A100)=1,COUNTIF('Test Cases'!$A$6:$A$205,B100)=1,I100&lt;&gt;"",J100&lt;&gt;"",OR(K100="Answered",K100="Clarification",K100="Abstained"),X100="Yes",T100&lt;&gt;"",O100&gt;0,Q100=0),P100/MAX(1,O100),"")</f>
        <v/>
      </c>
      <c r="S100" s="11">
        <f>IF(A100="","",IF(AND(J100="",K100=""),"Pending",IF(COUNTIF($A$6:$A$205,A100)&lt;&gt;1,"Duplicate Run ID",IF(COUNTIF('Test Cases'!$A$6:$A$205,B100)&lt;&gt;1,"Check Test ID",IF(K100="Error","FAIL",IF(OR(I100="",J100=""),"Needs evidence / answer",IF(NOT(OR(K100="Answered",K100="Clarification",K100="Abstained")),"Choose outcome",IF(X100&lt;&gt;"Yes","Confirm claim inventory",IF(AND(K100="Answered",O100=0),"Needs claims",IF(Q100&gt;0,"Needs claim review",IF(OR(NOT(OR(L100="Yes",L100="No")),T100=""),"Needs response review",IF(OR(L100="No",M100&gt;0,N100&gt;0,AND(ISNUMBER(R100),R100&lt;Dashboard!$B$5)),"FAIL","PASS"))))))))))))</f>
        <v/>
      </c>
      <c r="V100" s="11">
        <f>IF(B100="","",IFERROR(VLOOKUP(B100,'Test Cases'!$A$6:$J$205,7,FALSE),"Unknown Test ID"))</f>
        <v/>
      </c>
      <c r="W100" s="11">
        <f>IF(B100="","",IFERROR(VLOOKUP(B100,'Test Cases'!$A$6:$J$205,8,FALSE),"Unknown Test ID"))</f>
        <v/>
      </c>
    </row>
    <row r="101" spans="3:23">
      <c r="C101" s="11">
        <f>IF(B101="","",IFERROR(VLOOKUP(B101,'Test Cases'!$A$6:$J$205,2,FALSE),"Unknown Test ID"))</f>
        <v/>
      </c>
      <c r="D101" s="11">
        <f>IF(B101="","",IFERROR(VLOOKUP(B101,'Test Cases'!$A$6:$J$205,5,FALSE),"Unknown Test ID"))</f>
        <v/>
      </c>
      <c r="M101" s="11">
        <f>IF(A101="","",COUNTIFS('Claim Review'!$A$6:$A$2005,A101,'Claim Review'!$C$6:$C$2005,"&lt;&gt;",'Claim Review'!$G$6:$G$2005,"Wrong citation")+COUNTIFS('Claim Review'!$A$6:$A$2005,A101,'Claim Review'!$C$6:$C$2005,"&lt;&gt;",'Claim Review'!$G$6:$G$2005,"Missing citation"))</f>
        <v/>
      </c>
      <c r="N101" s="11">
        <f>IF(A101="","",COUNTIFS('Claim Review'!$A$6:$A$2005,A101,'Claim Review'!$C$6:$C$2005,"&lt;&gt;",'Claim Review'!$H$6:$H$2005,"Yes"))</f>
        <v/>
      </c>
      <c r="O101" s="11">
        <f>IF(A101="","",COUNTIFS('Claim Review'!$A$6:$A$2005,A101,'Claim Review'!$C$6:$C$2005,"&lt;&gt;"))</f>
        <v/>
      </c>
      <c r="P101" s="11">
        <f>IF(A101="","",COUNTIFS('Claim Review'!$A$6:$A$2005,A101,'Claim Review'!$C$6:$C$2005,"&lt;&gt;",'Claim Review'!$F$6:$F$2005,"Supported"))</f>
        <v/>
      </c>
      <c r="Q101" s="11">
        <f>IF(A101="","",O101-COUNTIFS('Claim Review'!$A$6:$A$2005,A101,'Claim Review'!$C$6:$C$2005,"&lt;&gt;",'Claim Review'!$K$6:$K$2005,"Yes"))</f>
        <v/>
      </c>
      <c r="R101" s="12">
        <f>IF(AND(A101&lt;&gt;"",COUNTIF($A$6:$A$205,A101)=1,COUNTIF('Test Cases'!$A$6:$A$205,B101)=1,I101&lt;&gt;"",J101&lt;&gt;"",OR(K101="Answered",K101="Clarification",K101="Abstained"),X101="Yes",T101&lt;&gt;"",O101&gt;0,Q101=0),P101/MAX(1,O101),"")</f>
        <v/>
      </c>
      <c r="S101" s="11">
        <f>IF(A101="","",IF(AND(J101="",K101=""),"Pending",IF(COUNTIF($A$6:$A$205,A101)&lt;&gt;1,"Duplicate Run ID",IF(COUNTIF('Test Cases'!$A$6:$A$205,B101)&lt;&gt;1,"Check Test ID",IF(K101="Error","FAIL",IF(OR(I101="",J101=""),"Needs evidence / answer",IF(NOT(OR(K101="Answered",K101="Clarification",K101="Abstained")),"Choose outcome",IF(X101&lt;&gt;"Yes","Confirm claim inventory",IF(AND(K101="Answered",O101=0),"Needs claims",IF(Q101&gt;0,"Needs claim review",IF(OR(NOT(OR(L101="Yes",L101="No")),T101=""),"Needs response review",IF(OR(L101="No",M101&gt;0,N101&gt;0,AND(ISNUMBER(R101),R101&lt;Dashboard!$B$5)),"FAIL","PASS"))))))))))))</f>
        <v/>
      </c>
      <c r="V101" s="11">
        <f>IF(B101="","",IFERROR(VLOOKUP(B101,'Test Cases'!$A$6:$J$205,7,FALSE),"Unknown Test ID"))</f>
        <v/>
      </c>
      <c r="W101" s="11">
        <f>IF(B101="","",IFERROR(VLOOKUP(B101,'Test Cases'!$A$6:$J$205,8,FALSE),"Unknown Test ID"))</f>
        <v/>
      </c>
    </row>
    <row r="102" spans="3:23">
      <c r="C102" s="11">
        <f>IF(B102="","",IFERROR(VLOOKUP(B102,'Test Cases'!$A$6:$J$205,2,FALSE),"Unknown Test ID"))</f>
        <v/>
      </c>
      <c r="D102" s="11">
        <f>IF(B102="","",IFERROR(VLOOKUP(B102,'Test Cases'!$A$6:$J$205,5,FALSE),"Unknown Test ID"))</f>
        <v/>
      </c>
      <c r="M102" s="11">
        <f>IF(A102="","",COUNTIFS('Claim Review'!$A$6:$A$2005,A102,'Claim Review'!$C$6:$C$2005,"&lt;&gt;",'Claim Review'!$G$6:$G$2005,"Wrong citation")+COUNTIFS('Claim Review'!$A$6:$A$2005,A102,'Claim Review'!$C$6:$C$2005,"&lt;&gt;",'Claim Review'!$G$6:$G$2005,"Missing citation"))</f>
        <v/>
      </c>
      <c r="N102" s="11">
        <f>IF(A102="","",COUNTIFS('Claim Review'!$A$6:$A$2005,A102,'Claim Review'!$C$6:$C$2005,"&lt;&gt;",'Claim Review'!$H$6:$H$2005,"Yes"))</f>
        <v/>
      </c>
      <c r="O102" s="11">
        <f>IF(A102="","",COUNTIFS('Claim Review'!$A$6:$A$2005,A102,'Claim Review'!$C$6:$C$2005,"&lt;&gt;"))</f>
        <v/>
      </c>
      <c r="P102" s="11">
        <f>IF(A102="","",COUNTIFS('Claim Review'!$A$6:$A$2005,A102,'Claim Review'!$C$6:$C$2005,"&lt;&gt;",'Claim Review'!$F$6:$F$2005,"Supported"))</f>
        <v/>
      </c>
      <c r="Q102" s="11">
        <f>IF(A102="","",O102-COUNTIFS('Claim Review'!$A$6:$A$2005,A102,'Claim Review'!$C$6:$C$2005,"&lt;&gt;",'Claim Review'!$K$6:$K$2005,"Yes"))</f>
        <v/>
      </c>
      <c r="R102" s="12">
        <f>IF(AND(A102&lt;&gt;"",COUNTIF($A$6:$A$205,A102)=1,COUNTIF('Test Cases'!$A$6:$A$205,B102)=1,I102&lt;&gt;"",J102&lt;&gt;"",OR(K102="Answered",K102="Clarification",K102="Abstained"),X102="Yes",T102&lt;&gt;"",O102&gt;0,Q102=0),P102/MAX(1,O102),"")</f>
        <v/>
      </c>
      <c r="S102" s="11">
        <f>IF(A102="","",IF(AND(J102="",K102=""),"Pending",IF(COUNTIF($A$6:$A$205,A102)&lt;&gt;1,"Duplicate Run ID",IF(COUNTIF('Test Cases'!$A$6:$A$205,B102)&lt;&gt;1,"Check Test ID",IF(K102="Error","FAIL",IF(OR(I102="",J102=""),"Needs evidence / answer",IF(NOT(OR(K102="Answered",K102="Clarification",K102="Abstained")),"Choose outcome",IF(X102&lt;&gt;"Yes","Confirm claim inventory",IF(AND(K102="Answered",O102=0),"Needs claims",IF(Q102&gt;0,"Needs claim review",IF(OR(NOT(OR(L102="Yes",L102="No")),T102=""),"Needs response review",IF(OR(L102="No",M102&gt;0,N102&gt;0,AND(ISNUMBER(R102),R102&lt;Dashboard!$B$5)),"FAIL","PASS"))))))))))))</f>
        <v/>
      </c>
      <c r="V102" s="11">
        <f>IF(B102="","",IFERROR(VLOOKUP(B102,'Test Cases'!$A$6:$J$205,7,FALSE),"Unknown Test ID"))</f>
        <v/>
      </c>
      <c r="W102" s="11">
        <f>IF(B102="","",IFERROR(VLOOKUP(B102,'Test Cases'!$A$6:$J$205,8,FALSE),"Unknown Test ID"))</f>
        <v/>
      </c>
    </row>
    <row r="103" spans="3:23">
      <c r="C103" s="11">
        <f>IF(B103="","",IFERROR(VLOOKUP(B103,'Test Cases'!$A$6:$J$205,2,FALSE),"Unknown Test ID"))</f>
        <v/>
      </c>
      <c r="D103" s="11">
        <f>IF(B103="","",IFERROR(VLOOKUP(B103,'Test Cases'!$A$6:$J$205,5,FALSE),"Unknown Test ID"))</f>
        <v/>
      </c>
      <c r="M103" s="11">
        <f>IF(A103="","",COUNTIFS('Claim Review'!$A$6:$A$2005,A103,'Claim Review'!$C$6:$C$2005,"&lt;&gt;",'Claim Review'!$G$6:$G$2005,"Wrong citation")+COUNTIFS('Claim Review'!$A$6:$A$2005,A103,'Claim Review'!$C$6:$C$2005,"&lt;&gt;",'Claim Review'!$G$6:$G$2005,"Missing citation"))</f>
        <v/>
      </c>
      <c r="N103" s="11">
        <f>IF(A103="","",COUNTIFS('Claim Review'!$A$6:$A$2005,A103,'Claim Review'!$C$6:$C$2005,"&lt;&gt;",'Claim Review'!$H$6:$H$2005,"Yes"))</f>
        <v/>
      </c>
      <c r="O103" s="11">
        <f>IF(A103="","",COUNTIFS('Claim Review'!$A$6:$A$2005,A103,'Claim Review'!$C$6:$C$2005,"&lt;&gt;"))</f>
        <v/>
      </c>
      <c r="P103" s="11">
        <f>IF(A103="","",COUNTIFS('Claim Review'!$A$6:$A$2005,A103,'Claim Review'!$C$6:$C$2005,"&lt;&gt;",'Claim Review'!$F$6:$F$2005,"Supported"))</f>
        <v/>
      </c>
      <c r="Q103" s="11">
        <f>IF(A103="","",O103-COUNTIFS('Claim Review'!$A$6:$A$2005,A103,'Claim Review'!$C$6:$C$2005,"&lt;&gt;",'Claim Review'!$K$6:$K$2005,"Yes"))</f>
        <v/>
      </c>
      <c r="R103" s="12">
        <f>IF(AND(A103&lt;&gt;"",COUNTIF($A$6:$A$205,A103)=1,COUNTIF('Test Cases'!$A$6:$A$205,B103)=1,I103&lt;&gt;"",J103&lt;&gt;"",OR(K103="Answered",K103="Clarification",K103="Abstained"),X103="Yes",T103&lt;&gt;"",O103&gt;0,Q103=0),P103/MAX(1,O103),"")</f>
        <v/>
      </c>
      <c r="S103" s="11">
        <f>IF(A103="","",IF(AND(J103="",K103=""),"Pending",IF(COUNTIF($A$6:$A$205,A103)&lt;&gt;1,"Duplicate Run ID",IF(COUNTIF('Test Cases'!$A$6:$A$205,B103)&lt;&gt;1,"Check Test ID",IF(K103="Error","FAIL",IF(OR(I103="",J103=""),"Needs evidence / answer",IF(NOT(OR(K103="Answered",K103="Clarification",K103="Abstained")),"Choose outcome",IF(X103&lt;&gt;"Yes","Confirm claim inventory",IF(AND(K103="Answered",O103=0),"Needs claims",IF(Q103&gt;0,"Needs claim review",IF(OR(NOT(OR(L103="Yes",L103="No")),T103=""),"Needs response review",IF(OR(L103="No",M103&gt;0,N103&gt;0,AND(ISNUMBER(R103),R103&lt;Dashboard!$B$5)),"FAIL","PASS"))))))))))))</f>
        <v/>
      </c>
      <c r="V103" s="11">
        <f>IF(B103="","",IFERROR(VLOOKUP(B103,'Test Cases'!$A$6:$J$205,7,FALSE),"Unknown Test ID"))</f>
        <v/>
      </c>
      <c r="W103" s="11">
        <f>IF(B103="","",IFERROR(VLOOKUP(B103,'Test Cases'!$A$6:$J$205,8,FALSE),"Unknown Test ID"))</f>
        <v/>
      </c>
    </row>
    <row r="104" spans="3:23">
      <c r="C104" s="11">
        <f>IF(B104="","",IFERROR(VLOOKUP(B104,'Test Cases'!$A$6:$J$205,2,FALSE),"Unknown Test ID"))</f>
        <v/>
      </c>
      <c r="D104" s="11">
        <f>IF(B104="","",IFERROR(VLOOKUP(B104,'Test Cases'!$A$6:$J$205,5,FALSE),"Unknown Test ID"))</f>
        <v/>
      </c>
      <c r="M104" s="11">
        <f>IF(A104="","",COUNTIFS('Claim Review'!$A$6:$A$2005,A104,'Claim Review'!$C$6:$C$2005,"&lt;&gt;",'Claim Review'!$G$6:$G$2005,"Wrong citation")+COUNTIFS('Claim Review'!$A$6:$A$2005,A104,'Claim Review'!$C$6:$C$2005,"&lt;&gt;",'Claim Review'!$G$6:$G$2005,"Missing citation"))</f>
        <v/>
      </c>
      <c r="N104" s="11">
        <f>IF(A104="","",COUNTIFS('Claim Review'!$A$6:$A$2005,A104,'Claim Review'!$C$6:$C$2005,"&lt;&gt;",'Claim Review'!$H$6:$H$2005,"Yes"))</f>
        <v/>
      </c>
      <c r="O104" s="11">
        <f>IF(A104="","",COUNTIFS('Claim Review'!$A$6:$A$2005,A104,'Claim Review'!$C$6:$C$2005,"&lt;&gt;"))</f>
        <v/>
      </c>
      <c r="P104" s="11">
        <f>IF(A104="","",COUNTIFS('Claim Review'!$A$6:$A$2005,A104,'Claim Review'!$C$6:$C$2005,"&lt;&gt;",'Claim Review'!$F$6:$F$2005,"Supported"))</f>
        <v/>
      </c>
      <c r="Q104" s="11">
        <f>IF(A104="","",O104-COUNTIFS('Claim Review'!$A$6:$A$2005,A104,'Claim Review'!$C$6:$C$2005,"&lt;&gt;",'Claim Review'!$K$6:$K$2005,"Yes"))</f>
        <v/>
      </c>
      <c r="R104" s="12">
        <f>IF(AND(A104&lt;&gt;"",COUNTIF($A$6:$A$205,A104)=1,COUNTIF('Test Cases'!$A$6:$A$205,B104)=1,I104&lt;&gt;"",J104&lt;&gt;"",OR(K104="Answered",K104="Clarification",K104="Abstained"),X104="Yes",T104&lt;&gt;"",O104&gt;0,Q104=0),P104/MAX(1,O104),"")</f>
        <v/>
      </c>
      <c r="S104" s="11">
        <f>IF(A104="","",IF(AND(J104="",K104=""),"Pending",IF(COUNTIF($A$6:$A$205,A104)&lt;&gt;1,"Duplicate Run ID",IF(COUNTIF('Test Cases'!$A$6:$A$205,B104)&lt;&gt;1,"Check Test ID",IF(K104="Error","FAIL",IF(OR(I104="",J104=""),"Needs evidence / answer",IF(NOT(OR(K104="Answered",K104="Clarification",K104="Abstained")),"Choose outcome",IF(X104&lt;&gt;"Yes","Confirm claim inventory",IF(AND(K104="Answered",O104=0),"Needs claims",IF(Q104&gt;0,"Needs claim review",IF(OR(NOT(OR(L104="Yes",L104="No")),T104=""),"Needs response review",IF(OR(L104="No",M104&gt;0,N104&gt;0,AND(ISNUMBER(R104),R104&lt;Dashboard!$B$5)),"FAIL","PASS"))))))))))))</f>
        <v/>
      </c>
      <c r="V104" s="11">
        <f>IF(B104="","",IFERROR(VLOOKUP(B104,'Test Cases'!$A$6:$J$205,7,FALSE),"Unknown Test ID"))</f>
        <v/>
      </c>
      <c r="W104" s="11">
        <f>IF(B104="","",IFERROR(VLOOKUP(B104,'Test Cases'!$A$6:$J$205,8,FALSE),"Unknown Test ID"))</f>
        <v/>
      </c>
    </row>
    <row r="105" spans="3:23">
      <c r="C105" s="11">
        <f>IF(B105="","",IFERROR(VLOOKUP(B105,'Test Cases'!$A$6:$J$205,2,FALSE),"Unknown Test ID"))</f>
        <v/>
      </c>
      <c r="D105" s="11">
        <f>IF(B105="","",IFERROR(VLOOKUP(B105,'Test Cases'!$A$6:$J$205,5,FALSE),"Unknown Test ID"))</f>
        <v/>
      </c>
      <c r="M105" s="11">
        <f>IF(A105="","",COUNTIFS('Claim Review'!$A$6:$A$2005,A105,'Claim Review'!$C$6:$C$2005,"&lt;&gt;",'Claim Review'!$G$6:$G$2005,"Wrong citation")+COUNTIFS('Claim Review'!$A$6:$A$2005,A105,'Claim Review'!$C$6:$C$2005,"&lt;&gt;",'Claim Review'!$G$6:$G$2005,"Missing citation"))</f>
        <v/>
      </c>
      <c r="N105" s="11">
        <f>IF(A105="","",COUNTIFS('Claim Review'!$A$6:$A$2005,A105,'Claim Review'!$C$6:$C$2005,"&lt;&gt;",'Claim Review'!$H$6:$H$2005,"Yes"))</f>
        <v/>
      </c>
      <c r="O105" s="11">
        <f>IF(A105="","",COUNTIFS('Claim Review'!$A$6:$A$2005,A105,'Claim Review'!$C$6:$C$2005,"&lt;&gt;"))</f>
        <v/>
      </c>
      <c r="P105" s="11">
        <f>IF(A105="","",COUNTIFS('Claim Review'!$A$6:$A$2005,A105,'Claim Review'!$C$6:$C$2005,"&lt;&gt;",'Claim Review'!$F$6:$F$2005,"Supported"))</f>
        <v/>
      </c>
      <c r="Q105" s="11">
        <f>IF(A105="","",O105-COUNTIFS('Claim Review'!$A$6:$A$2005,A105,'Claim Review'!$C$6:$C$2005,"&lt;&gt;",'Claim Review'!$K$6:$K$2005,"Yes"))</f>
        <v/>
      </c>
      <c r="R105" s="12">
        <f>IF(AND(A105&lt;&gt;"",COUNTIF($A$6:$A$205,A105)=1,COUNTIF('Test Cases'!$A$6:$A$205,B105)=1,I105&lt;&gt;"",J105&lt;&gt;"",OR(K105="Answered",K105="Clarification",K105="Abstained"),X105="Yes",T105&lt;&gt;"",O105&gt;0,Q105=0),P105/MAX(1,O105),"")</f>
        <v/>
      </c>
      <c r="S105" s="11">
        <f>IF(A105="","",IF(AND(J105="",K105=""),"Pending",IF(COUNTIF($A$6:$A$205,A105)&lt;&gt;1,"Duplicate Run ID",IF(COUNTIF('Test Cases'!$A$6:$A$205,B105)&lt;&gt;1,"Check Test ID",IF(K105="Error","FAIL",IF(OR(I105="",J105=""),"Needs evidence / answer",IF(NOT(OR(K105="Answered",K105="Clarification",K105="Abstained")),"Choose outcome",IF(X105&lt;&gt;"Yes","Confirm claim inventory",IF(AND(K105="Answered",O105=0),"Needs claims",IF(Q105&gt;0,"Needs claim review",IF(OR(NOT(OR(L105="Yes",L105="No")),T105=""),"Needs response review",IF(OR(L105="No",M105&gt;0,N105&gt;0,AND(ISNUMBER(R105),R105&lt;Dashboard!$B$5)),"FAIL","PASS"))))))))))))</f>
        <v/>
      </c>
      <c r="V105" s="11">
        <f>IF(B105="","",IFERROR(VLOOKUP(B105,'Test Cases'!$A$6:$J$205,7,FALSE),"Unknown Test ID"))</f>
        <v/>
      </c>
      <c r="W105" s="11">
        <f>IF(B105="","",IFERROR(VLOOKUP(B105,'Test Cases'!$A$6:$J$205,8,FALSE),"Unknown Test ID"))</f>
        <v/>
      </c>
    </row>
    <row r="106" spans="3:23">
      <c r="C106" s="11">
        <f>IF(B106="","",IFERROR(VLOOKUP(B106,'Test Cases'!$A$6:$J$205,2,FALSE),"Unknown Test ID"))</f>
        <v/>
      </c>
      <c r="D106" s="11">
        <f>IF(B106="","",IFERROR(VLOOKUP(B106,'Test Cases'!$A$6:$J$205,5,FALSE),"Unknown Test ID"))</f>
        <v/>
      </c>
      <c r="M106" s="11">
        <f>IF(A106="","",COUNTIFS('Claim Review'!$A$6:$A$2005,A106,'Claim Review'!$C$6:$C$2005,"&lt;&gt;",'Claim Review'!$G$6:$G$2005,"Wrong citation")+COUNTIFS('Claim Review'!$A$6:$A$2005,A106,'Claim Review'!$C$6:$C$2005,"&lt;&gt;",'Claim Review'!$G$6:$G$2005,"Missing citation"))</f>
        <v/>
      </c>
      <c r="N106" s="11">
        <f>IF(A106="","",COUNTIFS('Claim Review'!$A$6:$A$2005,A106,'Claim Review'!$C$6:$C$2005,"&lt;&gt;",'Claim Review'!$H$6:$H$2005,"Yes"))</f>
        <v/>
      </c>
      <c r="O106" s="11">
        <f>IF(A106="","",COUNTIFS('Claim Review'!$A$6:$A$2005,A106,'Claim Review'!$C$6:$C$2005,"&lt;&gt;"))</f>
        <v/>
      </c>
      <c r="P106" s="11">
        <f>IF(A106="","",COUNTIFS('Claim Review'!$A$6:$A$2005,A106,'Claim Review'!$C$6:$C$2005,"&lt;&gt;",'Claim Review'!$F$6:$F$2005,"Supported"))</f>
        <v/>
      </c>
      <c r="Q106" s="11">
        <f>IF(A106="","",O106-COUNTIFS('Claim Review'!$A$6:$A$2005,A106,'Claim Review'!$C$6:$C$2005,"&lt;&gt;",'Claim Review'!$K$6:$K$2005,"Yes"))</f>
        <v/>
      </c>
      <c r="R106" s="12">
        <f>IF(AND(A106&lt;&gt;"",COUNTIF($A$6:$A$205,A106)=1,COUNTIF('Test Cases'!$A$6:$A$205,B106)=1,I106&lt;&gt;"",J106&lt;&gt;"",OR(K106="Answered",K106="Clarification",K106="Abstained"),X106="Yes",T106&lt;&gt;"",O106&gt;0,Q106=0),P106/MAX(1,O106),"")</f>
        <v/>
      </c>
      <c r="S106" s="11">
        <f>IF(A106="","",IF(AND(J106="",K106=""),"Pending",IF(COUNTIF($A$6:$A$205,A106)&lt;&gt;1,"Duplicate Run ID",IF(COUNTIF('Test Cases'!$A$6:$A$205,B106)&lt;&gt;1,"Check Test ID",IF(K106="Error","FAIL",IF(OR(I106="",J106=""),"Needs evidence / answer",IF(NOT(OR(K106="Answered",K106="Clarification",K106="Abstained")),"Choose outcome",IF(X106&lt;&gt;"Yes","Confirm claim inventory",IF(AND(K106="Answered",O106=0),"Needs claims",IF(Q106&gt;0,"Needs claim review",IF(OR(NOT(OR(L106="Yes",L106="No")),T106=""),"Needs response review",IF(OR(L106="No",M106&gt;0,N106&gt;0,AND(ISNUMBER(R106),R106&lt;Dashboard!$B$5)),"FAIL","PASS"))))))))))))</f>
        <v/>
      </c>
      <c r="V106" s="11">
        <f>IF(B106="","",IFERROR(VLOOKUP(B106,'Test Cases'!$A$6:$J$205,7,FALSE),"Unknown Test ID"))</f>
        <v/>
      </c>
      <c r="W106" s="11">
        <f>IF(B106="","",IFERROR(VLOOKUP(B106,'Test Cases'!$A$6:$J$205,8,FALSE),"Unknown Test ID"))</f>
        <v/>
      </c>
    </row>
    <row r="107" spans="3:23">
      <c r="C107" s="11">
        <f>IF(B107="","",IFERROR(VLOOKUP(B107,'Test Cases'!$A$6:$J$205,2,FALSE),"Unknown Test ID"))</f>
        <v/>
      </c>
      <c r="D107" s="11">
        <f>IF(B107="","",IFERROR(VLOOKUP(B107,'Test Cases'!$A$6:$J$205,5,FALSE),"Unknown Test ID"))</f>
        <v/>
      </c>
      <c r="M107" s="11">
        <f>IF(A107="","",COUNTIFS('Claim Review'!$A$6:$A$2005,A107,'Claim Review'!$C$6:$C$2005,"&lt;&gt;",'Claim Review'!$G$6:$G$2005,"Wrong citation")+COUNTIFS('Claim Review'!$A$6:$A$2005,A107,'Claim Review'!$C$6:$C$2005,"&lt;&gt;",'Claim Review'!$G$6:$G$2005,"Missing citation"))</f>
        <v/>
      </c>
      <c r="N107" s="11">
        <f>IF(A107="","",COUNTIFS('Claim Review'!$A$6:$A$2005,A107,'Claim Review'!$C$6:$C$2005,"&lt;&gt;",'Claim Review'!$H$6:$H$2005,"Yes"))</f>
        <v/>
      </c>
      <c r="O107" s="11">
        <f>IF(A107="","",COUNTIFS('Claim Review'!$A$6:$A$2005,A107,'Claim Review'!$C$6:$C$2005,"&lt;&gt;"))</f>
        <v/>
      </c>
      <c r="P107" s="11">
        <f>IF(A107="","",COUNTIFS('Claim Review'!$A$6:$A$2005,A107,'Claim Review'!$C$6:$C$2005,"&lt;&gt;",'Claim Review'!$F$6:$F$2005,"Supported"))</f>
        <v/>
      </c>
      <c r="Q107" s="11">
        <f>IF(A107="","",O107-COUNTIFS('Claim Review'!$A$6:$A$2005,A107,'Claim Review'!$C$6:$C$2005,"&lt;&gt;",'Claim Review'!$K$6:$K$2005,"Yes"))</f>
        <v/>
      </c>
      <c r="R107" s="12">
        <f>IF(AND(A107&lt;&gt;"",COUNTIF($A$6:$A$205,A107)=1,COUNTIF('Test Cases'!$A$6:$A$205,B107)=1,I107&lt;&gt;"",J107&lt;&gt;"",OR(K107="Answered",K107="Clarification",K107="Abstained"),X107="Yes",T107&lt;&gt;"",O107&gt;0,Q107=0),P107/MAX(1,O107),"")</f>
        <v/>
      </c>
      <c r="S107" s="11">
        <f>IF(A107="","",IF(AND(J107="",K107=""),"Pending",IF(COUNTIF($A$6:$A$205,A107)&lt;&gt;1,"Duplicate Run ID",IF(COUNTIF('Test Cases'!$A$6:$A$205,B107)&lt;&gt;1,"Check Test ID",IF(K107="Error","FAIL",IF(OR(I107="",J107=""),"Needs evidence / answer",IF(NOT(OR(K107="Answered",K107="Clarification",K107="Abstained")),"Choose outcome",IF(X107&lt;&gt;"Yes","Confirm claim inventory",IF(AND(K107="Answered",O107=0),"Needs claims",IF(Q107&gt;0,"Needs claim review",IF(OR(NOT(OR(L107="Yes",L107="No")),T107=""),"Needs response review",IF(OR(L107="No",M107&gt;0,N107&gt;0,AND(ISNUMBER(R107),R107&lt;Dashboard!$B$5)),"FAIL","PASS"))))))))))))</f>
        <v/>
      </c>
      <c r="V107" s="11">
        <f>IF(B107="","",IFERROR(VLOOKUP(B107,'Test Cases'!$A$6:$J$205,7,FALSE),"Unknown Test ID"))</f>
        <v/>
      </c>
      <c r="W107" s="11">
        <f>IF(B107="","",IFERROR(VLOOKUP(B107,'Test Cases'!$A$6:$J$205,8,FALSE),"Unknown Test ID"))</f>
        <v/>
      </c>
    </row>
    <row r="108" spans="3:23">
      <c r="C108" s="11">
        <f>IF(B108="","",IFERROR(VLOOKUP(B108,'Test Cases'!$A$6:$J$205,2,FALSE),"Unknown Test ID"))</f>
        <v/>
      </c>
      <c r="D108" s="11">
        <f>IF(B108="","",IFERROR(VLOOKUP(B108,'Test Cases'!$A$6:$J$205,5,FALSE),"Unknown Test ID"))</f>
        <v/>
      </c>
      <c r="M108" s="11">
        <f>IF(A108="","",COUNTIFS('Claim Review'!$A$6:$A$2005,A108,'Claim Review'!$C$6:$C$2005,"&lt;&gt;",'Claim Review'!$G$6:$G$2005,"Wrong citation")+COUNTIFS('Claim Review'!$A$6:$A$2005,A108,'Claim Review'!$C$6:$C$2005,"&lt;&gt;",'Claim Review'!$G$6:$G$2005,"Missing citation"))</f>
        <v/>
      </c>
      <c r="N108" s="11">
        <f>IF(A108="","",COUNTIFS('Claim Review'!$A$6:$A$2005,A108,'Claim Review'!$C$6:$C$2005,"&lt;&gt;",'Claim Review'!$H$6:$H$2005,"Yes"))</f>
        <v/>
      </c>
      <c r="O108" s="11">
        <f>IF(A108="","",COUNTIFS('Claim Review'!$A$6:$A$2005,A108,'Claim Review'!$C$6:$C$2005,"&lt;&gt;"))</f>
        <v/>
      </c>
      <c r="P108" s="11">
        <f>IF(A108="","",COUNTIFS('Claim Review'!$A$6:$A$2005,A108,'Claim Review'!$C$6:$C$2005,"&lt;&gt;",'Claim Review'!$F$6:$F$2005,"Supported"))</f>
        <v/>
      </c>
      <c r="Q108" s="11">
        <f>IF(A108="","",O108-COUNTIFS('Claim Review'!$A$6:$A$2005,A108,'Claim Review'!$C$6:$C$2005,"&lt;&gt;",'Claim Review'!$K$6:$K$2005,"Yes"))</f>
        <v/>
      </c>
      <c r="R108" s="12">
        <f>IF(AND(A108&lt;&gt;"",COUNTIF($A$6:$A$205,A108)=1,COUNTIF('Test Cases'!$A$6:$A$205,B108)=1,I108&lt;&gt;"",J108&lt;&gt;"",OR(K108="Answered",K108="Clarification",K108="Abstained"),X108="Yes",T108&lt;&gt;"",O108&gt;0,Q108=0),P108/MAX(1,O108),"")</f>
        <v/>
      </c>
      <c r="S108" s="11">
        <f>IF(A108="","",IF(AND(J108="",K108=""),"Pending",IF(COUNTIF($A$6:$A$205,A108)&lt;&gt;1,"Duplicate Run ID",IF(COUNTIF('Test Cases'!$A$6:$A$205,B108)&lt;&gt;1,"Check Test ID",IF(K108="Error","FAIL",IF(OR(I108="",J108=""),"Needs evidence / answer",IF(NOT(OR(K108="Answered",K108="Clarification",K108="Abstained")),"Choose outcome",IF(X108&lt;&gt;"Yes","Confirm claim inventory",IF(AND(K108="Answered",O108=0),"Needs claims",IF(Q108&gt;0,"Needs claim review",IF(OR(NOT(OR(L108="Yes",L108="No")),T108=""),"Needs response review",IF(OR(L108="No",M108&gt;0,N108&gt;0,AND(ISNUMBER(R108),R108&lt;Dashboard!$B$5)),"FAIL","PASS"))))))))))))</f>
        <v/>
      </c>
      <c r="V108" s="11">
        <f>IF(B108="","",IFERROR(VLOOKUP(B108,'Test Cases'!$A$6:$J$205,7,FALSE),"Unknown Test ID"))</f>
        <v/>
      </c>
      <c r="W108" s="11">
        <f>IF(B108="","",IFERROR(VLOOKUP(B108,'Test Cases'!$A$6:$J$205,8,FALSE),"Unknown Test ID"))</f>
        <v/>
      </c>
    </row>
    <row r="109" spans="3:23">
      <c r="C109" s="11">
        <f>IF(B109="","",IFERROR(VLOOKUP(B109,'Test Cases'!$A$6:$J$205,2,FALSE),"Unknown Test ID"))</f>
        <v/>
      </c>
      <c r="D109" s="11">
        <f>IF(B109="","",IFERROR(VLOOKUP(B109,'Test Cases'!$A$6:$J$205,5,FALSE),"Unknown Test ID"))</f>
        <v/>
      </c>
      <c r="M109" s="11">
        <f>IF(A109="","",COUNTIFS('Claim Review'!$A$6:$A$2005,A109,'Claim Review'!$C$6:$C$2005,"&lt;&gt;",'Claim Review'!$G$6:$G$2005,"Wrong citation")+COUNTIFS('Claim Review'!$A$6:$A$2005,A109,'Claim Review'!$C$6:$C$2005,"&lt;&gt;",'Claim Review'!$G$6:$G$2005,"Missing citation"))</f>
        <v/>
      </c>
      <c r="N109" s="11">
        <f>IF(A109="","",COUNTIFS('Claim Review'!$A$6:$A$2005,A109,'Claim Review'!$C$6:$C$2005,"&lt;&gt;",'Claim Review'!$H$6:$H$2005,"Yes"))</f>
        <v/>
      </c>
      <c r="O109" s="11">
        <f>IF(A109="","",COUNTIFS('Claim Review'!$A$6:$A$2005,A109,'Claim Review'!$C$6:$C$2005,"&lt;&gt;"))</f>
        <v/>
      </c>
      <c r="P109" s="11">
        <f>IF(A109="","",COUNTIFS('Claim Review'!$A$6:$A$2005,A109,'Claim Review'!$C$6:$C$2005,"&lt;&gt;",'Claim Review'!$F$6:$F$2005,"Supported"))</f>
        <v/>
      </c>
      <c r="Q109" s="11">
        <f>IF(A109="","",O109-COUNTIFS('Claim Review'!$A$6:$A$2005,A109,'Claim Review'!$C$6:$C$2005,"&lt;&gt;",'Claim Review'!$K$6:$K$2005,"Yes"))</f>
        <v/>
      </c>
      <c r="R109" s="12">
        <f>IF(AND(A109&lt;&gt;"",COUNTIF($A$6:$A$205,A109)=1,COUNTIF('Test Cases'!$A$6:$A$205,B109)=1,I109&lt;&gt;"",J109&lt;&gt;"",OR(K109="Answered",K109="Clarification",K109="Abstained"),X109="Yes",T109&lt;&gt;"",O109&gt;0,Q109=0),P109/MAX(1,O109),"")</f>
        <v/>
      </c>
      <c r="S109" s="11">
        <f>IF(A109="","",IF(AND(J109="",K109=""),"Pending",IF(COUNTIF($A$6:$A$205,A109)&lt;&gt;1,"Duplicate Run ID",IF(COUNTIF('Test Cases'!$A$6:$A$205,B109)&lt;&gt;1,"Check Test ID",IF(K109="Error","FAIL",IF(OR(I109="",J109=""),"Needs evidence / answer",IF(NOT(OR(K109="Answered",K109="Clarification",K109="Abstained")),"Choose outcome",IF(X109&lt;&gt;"Yes","Confirm claim inventory",IF(AND(K109="Answered",O109=0),"Needs claims",IF(Q109&gt;0,"Needs claim review",IF(OR(NOT(OR(L109="Yes",L109="No")),T109=""),"Needs response review",IF(OR(L109="No",M109&gt;0,N109&gt;0,AND(ISNUMBER(R109),R109&lt;Dashboard!$B$5)),"FAIL","PASS"))))))))))))</f>
        <v/>
      </c>
      <c r="V109" s="11">
        <f>IF(B109="","",IFERROR(VLOOKUP(B109,'Test Cases'!$A$6:$J$205,7,FALSE),"Unknown Test ID"))</f>
        <v/>
      </c>
      <c r="W109" s="11">
        <f>IF(B109="","",IFERROR(VLOOKUP(B109,'Test Cases'!$A$6:$J$205,8,FALSE),"Unknown Test ID"))</f>
        <v/>
      </c>
    </row>
    <row r="110" spans="3:23">
      <c r="C110" s="11">
        <f>IF(B110="","",IFERROR(VLOOKUP(B110,'Test Cases'!$A$6:$J$205,2,FALSE),"Unknown Test ID"))</f>
        <v/>
      </c>
      <c r="D110" s="11">
        <f>IF(B110="","",IFERROR(VLOOKUP(B110,'Test Cases'!$A$6:$J$205,5,FALSE),"Unknown Test ID"))</f>
        <v/>
      </c>
      <c r="M110" s="11">
        <f>IF(A110="","",COUNTIFS('Claim Review'!$A$6:$A$2005,A110,'Claim Review'!$C$6:$C$2005,"&lt;&gt;",'Claim Review'!$G$6:$G$2005,"Wrong citation")+COUNTIFS('Claim Review'!$A$6:$A$2005,A110,'Claim Review'!$C$6:$C$2005,"&lt;&gt;",'Claim Review'!$G$6:$G$2005,"Missing citation"))</f>
        <v/>
      </c>
      <c r="N110" s="11">
        <f>IF(A110="","",COUNTIFS('Claim Review'!$A$6:$A$2005,A110,'Claim Review'!$C$6:$C$2005,"&lt;&gt;",'Claim Review'!$H$6:$H$2005,"Yes"))</f>
        <v/>
      </c>
      <c r="O110" s="11">
        <f>IF(A110="","",COUNTIFS('Claim Review'!$A$6:$A$2005,A110,'Claim Review'!$C$6:$C$2005,"&lt;&gt;"))</f>
        <v/>
      </c>
      <c r="P110" s="11">
        <f>IF(A110="","",COUNTIFS('Claim Review'!$A$6:$A$2005,A110,'Claim Review'!$C$6:$C$2005,"&lt;&gt;",'Claim Review'!$F$6:$F$2005,"Supported"))</f>
        <v/>
      </c>
      <c r="Q110" s="11">
        <f>IF(A110="","",O110-COUNTIFS('Claim Review'!$A$6:$A$2005,A110,'Claim Review'!$C$6:$C$2005,"&lt;&gt;",'Claim Review'!$K$6:$K$2005,"Yes"))</f>
        <v/>
      </c>
      <c r="R110" s="12">
        <f>IF(AND(A110&lt;&gt;"",COUNTIF($A$6:$A$205,A110)=1,COUNTIF('Test Cases'!$A$6:$A$205,B110)=1,I110&lt;&gt;"",J110&lt;&gt;"",OR(K110="Answered",K110="Clarification",K110="Abstained"),X110="Yes",T110&lt;&gt;"",O110&gt;0,Q110=0),P110/MAX(1,O110),"")</f>
        <v/>
      </c>
      <c r="S110" s="11">
        <f>IF(A110="","",IF(AND(J110="",K110=""),"Pending",IF(COUNTIF($A$6:$A$205,A110)&lt;&gt;1,"Duplicate Run ID",IF(COUNTIF('Test Cases'!$A$6:$A$205,B110)&lt;&gt;1,"Check Test ID",IF(K110="Error","FAIL",IF(OR(I110="",J110=""),"Needs evidence / answer",IF(NOT(OR(K110="Answered",K110="Clarification",K110="Abstained")),"Choose outcome",IF(X110&lt;&gt;"Yes","Confirm claim inventory",IF(AND(K110="Answered",O110=0),"Needs claims",IF(Q110&gt;0,"Needs claim review",IF(OR(NOT(OR(L110="Yes",L110="No")),T110=""),"Needs response review",IF(OR(L110="No",M110&gt;0,N110&gt;0,AND(ISNUMBER(R110),R110&lt;Dashboard!$B$5)),"FAIL","PASS"))))))))))))</f>
        <v/>
      </c>
      <c r="V110" s="11">
        <f>IF(B110="","",IFERROR(VLOOKUP(B110,'Test Cases'!$A$6:$J$205,7,FALSE),"Unknown Test ID"))</f>
        <v/>
      </c>
      <c r="W110" s="11">
        <f>IF(B110="","",IFERROR(VLOOKUP(B110,'Test Cases'!$A$6:$J$205,8,FALSE),"Unknown Test ID"))</f>
        <v/>
      </c>
    </row>
    <row r="111" spans="3:23">
      <c r="C111" s="11">
        <f>IF(B111="","",IFERROR(VLOOKUP(B111,'Test Cases'!$A$6:$J$205,2,FALSE),"Unknown Test ID"))</f>
        <v/>
      </c>
      <c r="D111" s="11">
        <f>IF(B111="","",IFERROR(VLOOKUP(B111,'Test Cases'!$A$6:$J$205,5,FALSE),"Unknown Test ID"))</f>
        <v/>
      </c>
      <c r="M111" s="11">
        <f>IF(A111="","",COUNTIFS('Claim Review'!$A$6:$A$2005,A111,'Claim Review'!$C$6:$C$2005,"&lt;&gt;",'Claim Review'!$G$6:$G$2005,"Wrong citation")+COUNTIFS('Claim Review'!$A$6:$A$2005,A111,'Claim Review'!$C$6:$C$2005,"&lt;&gt;",'Claim Review'!$G$6:$G$2005,"Missing citation"))</f>
        <v/>
      </c>
      <c r="N111" s="11">
        <f>IF(A111="","",COUNTIFS('Claim Review'!$A$6:$A$2005,A111,'Claim Review'!$C$6:$C$2005,"&lt;&gt;",'Claim Review'!$H$6:$H$2005,"Yes"))</f>
        <v/>
      </c>
      <c r="O111" s="11">
        <f>IF(A111="","",COUNTIFS('Claim Review'!$A$6:$A$2005,A111,'Claim Review'!$C$6:$C$2005,"&lt;&gt;"))</f>
        <v/>
      </c>
      <c r="P111" s="11">
        <f>IF(A111="","",COUNTIFS('Claim Review'!$A$6:$A$2005,A111,'Claim Review'!$C$6:$C$2005,"&lt;&gt;",'Claim Review'!$F$6:$F$2005,"Supported"))</f>
        <v/>
      </c>
      <c r="Q111" s="11">
        <f>IF(A111="","",O111-COUNTIFS('Claim Review'!$A$6:$A$2005,A111,'Claim Review'!$C$6:$C$2005,"&lt;&gt;",'Claim Review'!$K$6:$K$2005,"Yes"))</f>
        <v/>
      </c>
      <c r="R111" s="12">
        <f>IF(AND(A111&lt;&gt;"",COUNTIF($A$6:$A$205,A111)=1,COUNTIF('Test Cases'!$A$6:$A$205,B111)=1,I111&lt;&gt;"",J111&lt;&gt;"",OR(K111="Answered",K111="Clarification",K111="Abstained"),X111="Yes",T111&lt;&gt;"",O111&gt;0,Q111=0),P111/MAX(1,O111),"")</f>
        <v/>
      </c>
      <c r="S111" s="11">
        <f>IF(A111="","",IF(AND(J111="",K111=""),"Pending",IF(COUNTIF($A$6:$A$205,A111)&lt;&gt;1,"Duplicate Run ID",IF(COUNTIF('Test Cases'!$A$6:$A$205,B111)&lt;&gt;1,"Check Test ID",IF(K111="Error","FAIL",IF(OR(I111="",J111=""),"Needs evidence / answer",IF(NOT(OR(K111="Answered",K111="Clarification",K111="Abstained")),"Choose outcome",IF(X111&lt;&gt;"Yes","Confirm claim inventory",IF(AND(K111="Answered",O111=0),"Needs claims",IF(Q111&gt;0,"Needs claim review",IF(OR(NOT(OR(L111="Yes",L111="No")),T111=""),"Needs response review",IF(OR(L111="No",M111&gt;0,N111&gt;0,AND(ISNUMBER(R111),R111&lt;Dashboard!$B$5)),"FAIL","PASS"))))))))))))</f>
        <v/>
      </c>
      <c r="V111" s="11">
        <f>IF(B111="","",IFERROR(VLOOKUP(B111,'Test Cases'!$A$6:$J$205,7,FALSE),"Unknown Test ID"))</f>
        <v/>
      </c>
      <c r="W111" s="11">
        <f>IF(B111="","",IFERROR(VLOOKUP(B111,'Test Cases'!$A$6:$J$205,8,FALSE),"Unknown Test ID"))</f>
        <v/>
      </c>
    </row>
    <row r="112" spans="3:23">
      <c r="C112" s="11">
        <f>IF(B112="","",IFERROR(VLOOKUP(B112,'Test Cases'!$A$6:$J$205,2,FALSE),"Unknown Test ID"))</f>
        <v/>
      </c>
      <c r="D112" s="11">
        <f>IF(B112="","",IFERROR(VLOOKUP(B112,'Test Cases'!$A$6:$J$205,5,FALSE),"Unknown Test ID"))</f>
        <v/>
      </c>
      <c r="M112" s="11">
        <f>IF(A112="","",COUNTIFS('Claim Review'!$A$6:$A$2005,A112,'Claim Review'!$C$6:$C$2005,"&lt;&gt;",'Claim Review'!$G$6:$G$2005,"Wrong citation")+COUNTIFS('Claim Review'!$A$6:$A$2005,A112,'Claim Review'!$C$6:$C$2005,"&lt;&gt;",'Claim Review'!$G$6:$G$2005,"Missing citation"))</f>
        <v/>
      </c>
      <c r="N112" s="11">
        <f>IF(A112="","",COUNTIFS('Claim Review'!$A$6:$A$2005,A112,'Claim Review'!$C$6:$C$2005,"&lt;&gt;",'Claim Review'!$H$6:$H$2005,"Yes"))</f>
        <v/>
      </c>
      <c r="O112" s="11">
        <f>IF(A112="","",COUNTIFS('Claim Review'!$A$6:$A$2005,A112,'Claim Review'!$C$6:$C$2005,"&lt;&gt;"))</f>
        <v/>
      </c>
      <c r="P112" s="11">
        <f>IF(A112="","",COUNTIFS('Claim Review'!$A$6:$A$2005,A112,'Claim Review'!$C$6:$C$2005,"&lt;&gt;",'Claim Review'!$F$6:$F$2005,"Supported"))</f>
        <v/>
      </c>
      <c r="Q112" s="11">
        <f>IF(A112="","",O112-COUNTIFS('Claim Review'!$A$6:$A$2005,A112,'Claim Review'!$C$6:$C$2005,"&lt;&gt;",'Claim Review'!$K$6:$K$2005,"Yes"))</f>
        <v/>
      </c>
      <c r="R112" s="12">
        <f>IF(AND(A112&lt;&gt;"",COUNTIF($A$6:$A$205,A112)=1,COUNTIF('Test Cases'!$A$6:$A$205,B112)=1,I112&lt;&gt;"",J112&lt;&gt;"",OR(K112="Answered",K112="Clarification",K112="Abstained"),X112="Yes",T112&lt;&gt;"",O112&gt;0,Q112=0),P112/MAX(1,O112),"")</f>
        <v/>
      </c>
      <c r="S112" s="11">
        <f>IF(A112="","",IF(AND(J112="",K112=""),"Pending",IF(COUNTIF($A$6:$A$205,A112)&lt;&gt;1,"Duplicate Run ID",IF(COUNTIF('Test Cases'!$A$6:$A$205,B112)&lt;&gt;1,"Check Test ID",IF(K112="Error","FAIL",IF(OR(I112="",J112=""),"Needs evidence / answer",IF(NOT(OR(K112="Answered",K112="Clarification",K112="Abstained")),"Choose outcome",IF(X112&lt;&gt;"Yes","Confirm claim inventory",IF(AND(K112="Answered",O112=0),"Needs claims",IF(Q112&gt;0,"Needs claim review",IF(OR(NOT(OR(L112="Yes",L112="No")),T112=""),"Needs response review",IF(OR(L112="No",M112&gt;0,N112&gt;0,AND(ISNUMBER(R112),R112&lt;Dashboard!$B$5)),"FAIL","PASS"))))))))))))</f>
        <v/>
      </c>
      <c r="V112" s="11">
        <f>IF(B112="","",IFERROR(VLOOKUP(B112,'Test Cases'!$A$6:$J$205,7,FALSE),"Unknown Test ID"))</f>
        <v/>
      </c>
      <c r="W112" s="11">
        <f>IF(B112="","",IFERROR(VLOOKUP(B112,'Test Cases'!$A$6:$J$205,8,FALSE),"Unknown Test ID"))</f>
        <v/>
      </c>
    </row>
    <row r="113" spans="3:23">
      <c r="C113" s="11">
        <f>IF(B113="","",IFERROR(VLOOKUP(B113,'Test Cases'!$A$6:$J$205,2,FALSE),"Unknown Test ID"))</f>
        <v/>
      </c>
      <c r="D113" s="11">
        <f>IF(B113="","",IFERROR(VLOOKUP(B113,'Test Cases'!$A$6:$J$205,5,FALSE),"Unknown Test ID"))</f>
        <v/>
      </c>
      <c r="M113" s="11">
        <f>IF(A113="","",COUNTIFS('Claim Review'!$A$6:$A$2005,A113,'Claim Review'!$C$6:$C$2005,"&lt;&gt;",'Claim Review'!$G$6:$G$2005,"Wrong citation")+COUNTIFS('Claim Review'!$A$6:$A$2005,A113,'Claim Review'!$C$6:$C$2005,"&lt;&gt;",'Claim Review'!$G$6:$G$2005,"Missing citation"))</f>
        <v/>
      </c>
      <c r="N113" s="11">
        <f>IF(A113="","",COUNTIFS('Claim Review'!$A$6:$A$2005,A113,'Claim Review'!$C$6:$C$2005,"&lt;&gt;",'Claim Review'!$H$6:$H$2005,"Yes"))</f>
        <v/>
      </c>
      <c r="O113" s="11">
        <f>IF(A113="","",COUNTIFS('Claim Review'!$A$6:$A$2005,A113,'Claim Review'!$C$6:$C$2005,"&lt;&gt;"))</f>
        <v/>
      </c>
      <c r="P113" s="11">
        <f>IF(A113="","",COUNTIFS('Claim Review'!$A$6:$A$2005,A113,'Claim Review'!$C$6:$C$2005,"&lt;&gt;",'Claim Review'!$F$6:$F$2005,"Supported"))</f>
        <v/>
      </c>
      <c r="Q113" s="11">
        <f>IF(A113="","",O113-COUNTIFS('Claim Review'!$A$6:$A$2005,A113,'Claim Review'!$C$6:$C$2005,"&lt;&gt;",'Claim Review'!$K$6:$K$2005,"Yes"))</f>
        <v/>
      </c>
      <c r="R113" s="12">
        <f>IF(AND(A113&lt;&gt;"",COUNTIF($A$6:$A$205,A113)=1,COUNTIF('Test Cases'!$A$6:$A$205,B113)=1,I113&lt;&gt;"",J113&lt;&gt;"",OR(K113="Answered",K113="Clarification",K113="Abstained"),X113="Yes",T113&lt;&gt;"",O113&gt;0,Q113=0),P113/MAX(1,O113),"")</f>
        <v/>
      </c>
      <c r="S113" s="11">
        <f>IF(A113="","",IF(AND(J113="",K113=""),"Pending",IF(COUNTIF($A$6:$A$205,A113)&lt;&gt;1,"Duplicate Run ID",IF(COUNTIF('Test Cases'!$A$6:$A$205,B113)&lt;&gt;1,"Check Test ID",IF(K113="Error","FAIL",IF(OR(I113="",J113=""),"Needs evidence / answer",IF(NOT(OR(K113="Answered",K113="Clarification",K113="Abstained")),"Choose outcome",IF(X113&lt;&gt;"Yes","Confirm claim inventory",IF(AND(K113="Answered",O113=0),"Needs claims",IF(Q113&gt;0,"Needs claim review",IF(OR(NOT(OR(L113="Yes",L113="No")),T113=""),"Needs response review",IF(OR(L113="No",M113&gt;0,N113&gt;0,AND(ISNUMBER(R113),R113&lt;Dashboard!$B$5)),"FAIL","PASS"))))))))))))</f>
        <v/>
      </c>
      <c r="V113" s="11">
        <f>IF(B113="","",IFERROR(VLOOKUP(B113,'Test Cases'!$A$6:$J$205,7,FALSE),"Unknown Test ID"))</f>
        <v/>
      </c>
      <c r="W113" s="11">
        <f>IF(B113="","",IFERROR(VLOOKUP(B113,'Test Cases'!$A$6:$J$205,8,FALSE),"Unknown Test ID"))</f>
        <v/>
      </c>
    </row>
    <row r="114" spans="3:23">
      <c r="C114" s="11">
        <f>IF(B114="","",IFERROR(VLOOKUP(B114,'Test Cases'!$A$6:$J$205,2,FALSE),"Unknown Test ID"))</f>
        <v/>
      </c>
      <c r="D114" s="11">
        <f>IF(B114="","",IFERROR(VLOOKUP(B114,'Test Cases'!$A$6:$J$205,5,FALSE),"Unknown Test ID"))</f>
        <v/>
      </c>
      <c r="M114" s="11">
        <f>IF(A114="","",COUNTIFS('Claim Review'!$A$6:$A$2005,A114,'Claim Review'!$C$6:$C$2005,"&lt;&gt;",'Claim Review'!$G$6:$G$2005,"Wrong citation")+COUNTIFS('Claim Review'!$A$6:$A$2005,A114,'Claim Review'!$C$6:$C$2005,"&lt;&gt;",'Claim Review'!$G$6:$G$2005,"Missing citation"))</f>
        <v/>
      </c>
      <c r="N114" s="11">
        <f>IF(A114="","",COUNTIFS('Claim Review'!$A$6:$A$2005,A114,'Claim Review'!$C$6:$C$2005,"&lt;&gt;",'Claim Review'!$H$6:$H$2005,"Yes"))</f>
        <v/>
      </c>
      <c r="O114" s="11">
        <f>IF(A114="","",COUNTIFS('Claim Review'!$A$6:$A$2005,A114,'Claim Review'!$C$6:$C$2005,"&lt;&gt;"))</f>
        <v/>
      </c>
      <c r="P114" s="11">
        <f>IF(A114="","",COUNTIFS('Claim Review'!$A$6:$A$2005,A114,'Claim Review'!$C$6:$C$2005,"&lt;&gt;",'Claim Review'!$F$6:$F$2005,"Supported"))</f>
        <v/>
      </c>
      <c r="Q114" s="11">
        <f>IF(A114="","",O114-COUNTIFS('Claim Review'!$A$6:$A$2005,A114,'Claim Review'!$C$6:$C$2005,"&lt;&gt;",'Claim Review'!$K$6:$K$2005,"Yes"))</f>
        <v/>
      </c>
      <c r="R114" s="12">
        <f>IF(AND(A114&lt;&gt;"",COUNTIF($A$6:$A$205,A114)=1,COUNTIF('Test Cases'!$A$6:$A$205,B114)=1,I114&lt;&gt;"",J114&lt;&gt;"",OR(K114="Answered",K114="Clarification",K114="Abstained"),X114="Yes",T114&lt;&gt;"",O114&gt;0,Q114=0),P114/MAX(1,O114),"")</f>
        <v/>
      </c>
      <c r="S114" s="11">
        <f>IF(A114="","",IF(AND(J114="",K114=""),"Pending",IF(COUNTIF($A$6:$A$205,A114)&lt;&gt;1,"Duplicate Run ID",IF(COUNTIF('Test Cases'!$A$6:$A$205,B114)&lt;&gt;1,"Check Test ID",IF(K114="Error","FAIL",IF(OR(I114="",J114=""),"Needs evidence / answer",IF(NOT(OR(K114="Answered",K114="Clarification",K114="Abstained")),"Choose outcome",IF(X114&lt;&gt;"Yes","Confirm claim inventory",IF(AND(K114="Answered",O114=0),"Needs claims",IF(Q114&gt;0,"Needs claim review",IF(OR(NOT(OR(L114="Yes",L114="No")),T114=""),"Needs response review",IF(OR(L114="No",M114&gt;0,N114&gt;0,AND(ISNUMBER(R114),R114&lt;Dashboard!$B$5)),"FAIL","PASS"))))))))))))</f>
        <v/>
      </c>
      <c r="V114" s="11">
        <f>IF(B114="","",IFERROR(VLOOKUP(B114,'Test Cases'!$A$6:$J$205,7,FALSE),"Unknown Test ID"))</f>
        <v/>
      </c>
      <c r="W114" s="11">
        <f>IF(B114="","",IFERROR(VLOOKUP(B114,'Test Cases'!$A$6:$J$205,8,FALSE),"Unknown Test ID"))</f>
        <v/>
      </c>
    </row>
    <row r="115" spans="3:23">
      <c r="C115" s="11">
        <f>IF(B115="","",IFERROR(VLOOKUP(B115,'Test Cases'!$A$6:$J$205,2,FALSE),"Unknown Test ID"))</f>
        <v/>
      </c>
      <c r="D115" s="11">
        <f>IF(B115="","",IFERROR(VLOOKUP(B115,'Test Cases'!$A$6:$J$205,5,FALSE),"Unknown Test ID"))</f>
        <v/>
      </c>
      <c r="M115" s="11">
        <f>IF(A115="","",COUNTIFS('Claim Review'!$A$6:$A$2005,A115,'Claim Review'!$C$6:$C$2005,"&lt;&gt;",'Claim Review'!$G$6:$G$2005,"Wrong citation")+COUNTIFS('Claim Review'!$A$6:$A$2005,A115,'Claim Review'!$C$6:$C$2005,"&lt;&gt;",'Claim Review'!$G$6:$G$2005,"Missing citation"))</f>
        <v/>
      </c>
      <c r="N115" s="11">
        <f>IF(A115="","",COUNTIFS('Claim Review'!$A$6:$A$2005,A115,'Claim Review'!$C$6:$C$2005,"&lt;&gt;",'Claim Review'!$H$6:$H$2005,"Yes"))</f>
        <v/>
      </c>
      <c r="O115" s="11">
        <f>IF(A115="","",COUNTIFS('Claim Review'!$A$6:$A$2005,A115,'Claim Review'!$C$6:$C$2005,"&lt;&gt;"))</f>
        <v/>
      </c>
      <c r="P115" s="11">
        <f>IF(A115="","",COUNTIFS('Claim Review'!$A$6:$A$2005,A115,'Claim Review'!$C$6:$C$2005,"&lt;&gt;",'Claim Review'!$F$6:$F$2005,"Supported"))</f>
        <v/>
      </c>
      <c r="Q115" s="11">
        <f>IF(A115="","",O115-COUNTIFS('Claim Review'!$A$6:$A$2005,A115,'Claim Review'!$C$6:$C$2005,"&lt;&gt;",'Claim Review'!$K$6:$K$2005,"Yes"))</f>
        <v/>
      </c>
      <c r="R115" s="12">
        <f>IF(AND(A115&lt;&gt;"",COUNTIF($A$6:$A$205,A115)=1,COUNTIF('Test Cases'!$A$6:$A$205,B115)=1,I115&lt;&gt;"",J115&lt;&gt;"",OR(K115="Answered",K115="Clarification",K115="Abstained"),X115="Yes",T115&lt;&gt;"",O115&gt;0,Q115=0),P115/MAX(1,O115),"")</f>
        <v/>
      </c>
      <c r="S115" s="11">
        <f>IF(A115="","",IF(AND(J115="",K115=""),"Pending",IF(COUNTIF($A$6:$A$205,A115)&lt;&gt;1,"Duplicate Run ID",IF(COUNTIF('Test Cases'!$A$6:$A$205,B115)&lt;&gt;1,"Check Test ID",IF(K115="Error","FAIL",IF(OR(I115="",J115=""),"Needs evidence / answer",IF(NOT(OR(K115="Answered",K115="Clarification",K115="Abstained")),"Choose outcome",IF(X115&lt;&gt;"Yes","Confirm claim inventory",IF(AND(K115="Answered",O115=0),"Needs claims",IF(Q115&gt;0,"Needs claim review",IF(OR(NOT(OR(L115="Yes",L115="No")),T115=""),"Needs response review",IF(OR(L115="No",M115&gt;0,N115&gt;0,AND(ISNUMBER(R115),R115&lt;Dashboard!$B$5)),"FAIL","PASS"))))))))))))</f>
        <v/>
      </c>
      <c r="V115" s="11">
        <f>IF(B115="","",IFERROR(VLOOKUP(B115,'Test Cases'!$A$6:$J$205,7,FALSE),"Unknown Test ID"))</f>
        <v/>
      </c>
      <c r="W115" s="11">
        <f>IF(B115="","",IFERROR(VLOOKUP(B115,'Test Cases'!$A$6:$J$205,8,FALSE),"Unknown Test ID"))</f>
        <v/>
      </c>
    </row>
    <row r="116" spans="3:23">
      <c r="C116" s="11">
        <f>IF(B116="","",IFERROR(VLOOKUP(B116,'Test Cases'!$A$6:$J$205,2,FALSE),"Unknown Test ID"))</f>
        <v/>
      </c>
      <c r="D116" s="11">
        <f>IF(B116="","",IFERROR(VLOOKUP(B116,'Test Cases'!$A$6:$J$205,5,FALSE),"Unknown Test ID"))</f>
        <v/>
      </c>
      <c r="M116" s="11">
        <f>IF(A116="","",COUNTIFS('Claim Review'!$A$6:$A$2005,A116,'Claim Review'!$C$6:$C$2005,"&lt;&gt;",'Claim Review'!$G$6:$G$2005,"Wrong citation")+COUNTIFS('Claim Review'!$A$6:$A$2005,A116,'Claim Review'!$C$6:$C$2005,"&lt;&gt;",'Claim Review'!$G$6:$G$2005,"Missing citation"))</f>
        <v/>
      </c>
      <c r="N116" s="11">
        <f>IF(A116="","",COUNTIFS('Claim Review'!$A$6:$A$2005,A116,'Claim Review'!$C$6:$C$2005,"&lt;&gt;",'Claim Review'!$H$6:$H$2005,"Yes"))</f>
        <v/>
      </c>
      <c r="O116" s="11">
        <f>IF(A116="","",COUNTIFS('Claim Review'!$A$6:$A$2005,A116,'Claim Review'!$C$6:$C$2005,"&lt;&gt;"))</f>
        <v/>
      </c>
      <c r="P116" s="11">
        <f>IF(A116="","",COUNTIFS('Claim Review'!$A$6:$A$2005,A116,'Claim Review'!$C$6:$C$2005,"&lt;&gt;",'Claim Review'!$F$6:$F$2005,"Supported"))</f>
        <v/>
      </c>
      <c r="Q116" s="11">
        <f>IF(A116="","",O116-COUNTIFS('Claim Review'!$A$6:$A$2005,A116,'Claim Review'!$C$6:$C$2005,"&lt;&gt;",'Claim Review'!$K$6:$K$2005,"Yes"))</f>
        <v/>
      </c>
      <c r="R116" s="12">
        <f>IF(AND(A116&lt;&gt;"",COUNTIF($A$6:$A$205,A116)=1,COUNTIF('Test Cases'!$A$6:$A$205,B116)=1,I116&lt;&gt;"",J116&lt;&gt;"",OR(K116="Answered",K116="Clarification",K116="Abstained"),X116="Yes",T116&lt;&gt;"",O116&gt;0,Q116=0),P116/MAX(1,O116),"")</f>
        <v/>
      </c>
      <c r="S116" s="11">
        <f>IF(A116="","",IF(AND(J116="",K116=""),"Pending",IF(COUNTIF($A$6:$A$205,A116)&lt;&gt;1,"Duplicate Run ID",IF(COUNTIF('Test Cases'!$A$6:$A$205,B116)&lt;&gt;1,"Check Test ID",IF(K116="Error","FAIL",IF(OR(I116="",J116=""),"Needs evidence / answer",IF(NOT(OR(K116="Answered",K116="Clarification",K116="Abstained")),"Choose outcome",IF(X116&lt;&gt;"Yes","Confirm claim inventory",IF(AND(K116="Answered",O116=0),"Needs claims",IF(Q116&gt;0,"Needs claim review",IF(OR(NOT(OR(L116="Yes",L116="No")),T116=""),"Needs response review",IF(OR(L116="No",M116&gt;0,N116&gt;0,AND(ISNUMBER(R116),R116&lt;Dashboard!$B$5)),"FAIL","PASS"))))))))))))</f>
        <v/>
      </c>
      <c r="V116" s="11">
        <f>IF(B116="","",IFERROR(VLOOKUP(B116,'Test Cases'!$A$6:$J$205,7,FALSE),"Unknown Test ID"))</f>
        <v/>
      </c>
      <c r="W116" s="11">
        <f>IF(B116="","",IFERROR(VLOOKUP(B116,'Test Cases'!$A$6:$J$205,8,FALSE),"Unknown Test ID"))</f>
        <v/>
      </c>
    </row>
    <row r="117" spans="3:23">
      <c r="C117" s="11">
        <f>IF(B117="","",IFERROR(VLOOKUP(B117,'Test Cases'!$A$6:$J$205,2,FALSE),"Unknown Test ID"))</f>
        <v/>
      </c>
      <c r="D117" s="11">
        <f>IF(B117="","",IFERROR(VLOOKUP(B117,'Test Cases'!$A$6:$J$205,5,FALSE),"Unknown Test ID"))</f>
        <v/>
      </c>
      <c r="M117" s="11">
        <f>IF(A117="","",COUNTIFS('Claim Review'!$A$6:$A$2005,A117,'Claim Review'!$C$6:$C$2005,"&lt;&gt;",'Claim Review'!$G$6:$G$2005,"Wrong citation")+COUNTIFS('Claim Review'!$A$6:$A$2005,A117,'Claim Review'!$C$6:$C$2005,"&lt;&gt;",'Claim Review'!$G$6:$G$2005,"Missing citation"))</f>
        <v/>
      </c>
      <c r="N117" s="11">
        <f>IF(A117="","",COUNTIFS('Claim Review'!$A$6:$A$2005,A117,'Claim Review'!$C$6:$C$2005,"&lt;&gt;",'Claim Review'!$H$6:$H$2005,"Yes"))</f>
        <v/>
      </c>
      <c r="O117" s="11">
        <f>IF(A117="","",COUNTIFS('Claim Review'!$A$6:$A$2005,A117,'Claim Review'!$C$6:$C$2005,"&lt;&gt;"))</f>
        <v/>
      </c>
      <c r="P117" s="11">
        <f>IF(A117="","",COUNTIFS('Claim Review'!$A$6:$A$2005,A117,'Claim Review'!$C$6:$C$2005,"&lt;&gt;",'Claim Review'!$F$6:$F$2005,"Supported"))</f>
        <v/>
      </c>
      <c r="Q117" s="11">
        <f>IF(A117="","",O117-COUNTIFS('Claim Review'!$A$6:$A$2005,A117,'Claim Review'!$C$6:$C$2005,"&lt;&gt;",'Claim Review'!$K$6:$K$2005,"Yes"))</f>
        <v/>
      </c>
      <c r="R117" s="12">
        <f>IF(AND(A117&lt;&gt;"",COUNTIF($A$6:$A$205,A117)=1,COUNTIF('Test Cases'!$A$6:$A$205,B117)=1,I117&lt;&gt;"",J117&lt;&gt;"",OR(K117="Answered",K117="Clarification",K117="Abstained"),X117="Yes",T117&lt;&gt;"",O117&gt;0,Q117=0),P117/MAX(1,O117),"")</f>
        <v/>
      </c>
      <c r="S117" s="11">
        <f>IF(A117="","",IF(AND(J117="",K117=""),"Pending",IF(COUNTIF($A$6:$A$205,A117)&lt;&gt;1,"Duplicate Run ID",IF(COUNTIF('Test Cases'!$A$6:$A$205,B117)&lt;&gt;1,"Check Test ID",IF(K117="Error","FAIL",IF(OR(I117="",J117=""),"Needs evidence / answer",IF(NOT(OR(K117="Answered",K117="Clarification",K117="Abstained")),"Choose outcome",IF(X117&lt;&gt;"Yes","Confirm claim inventory",IF(AND(K117="Answered",O117=0),"Needs claims",IF(Q117&gt;0,"Needs claim review",IF(OR(NOT(OR(L117="Yes",L117="No")),T117=""),"Needs response review",IF(OR(L117="No",M117&gt;0,N117&gt;0,AND(ISNUMBER(R117),R117&lt;Dashboard!$B$5)),"FAIL","PASS"))))))))))))</f>
        <v/>
      </c>
      <c r="V117" s="11">
        <f>IF(B117="","",IFERROR(VLOOKUP(B117,'Test Cases'!$A$6:$J$205,7,FALSE),"Unknown Test ID"))</f>
        <v/>
      </c>
      <c r="W117" s="11">
        <f>IF(B117="","",IFERROR(VLOOKUP(B117,'Test Cases'!$A$6:$J$205,8,FALSE),"Unknown Test ID"))</f>
        <v/>
      </c>
    </row>
    <row r="118" spans="3:23">
      <c r="C118" s="11">
        <f>IF(B118="","",IFERROR(VLOOKUP(B118,'Test Cases'!$A$6:$J$205,2,FALSE),"Unknown Test ID"))</f>
        <v/>
      </c>
      <c r="D118" s="11">
        <f>IF(B118="","",IFERROR(VLOOKUP(B118,'Test Cases'!$A$6:$J$205,5,FALSE),"Unknown Test ID"))</f>
        <v/>
      </c>
      <c r="M118" s="11">
        <f>IF(A118="","",COUNTIFS('Claim Review'!$A$6:$A$2005,A118,'Claim Review'!$C$6:$C$2005,"&lt;&gt;",'Claim Review'!$G$6:$G$2005,"Wrong citation")+COUNTIFS('Claim Review'!$A$6:$A$2005,A118,'Claim Review'!$C$6:$C$2005,"&lt;&gt;",'Claim Review'!$G$6:$G$2005,"Missing citation"))</f>
        <v/>
      </c>
      <c r="N118" s="11">
        <f>IF(A118="","",COUNTIFS('Claim Review'!$A$6:$A$2005,A118,'Claim Review'!$C$6:$C$2005,"&lt;&gt;",'Claim Review'!$H$6:$H$2005,"Yes"))</f>
        <v/>
      </c>
      <c r="O118" s="11">
        <f>IF(A118="","",COUNTIFS('Claim Review'!$A$6:$A$2005,A118,'Claim Review'!$C$6:$C$2005,"&lt;&gt;"))</f>
        <v/>
      </c>
      <c r="P118" s="11">
        <f>IF(A118="","",COUNTIFS('Claim Review'!$A$6:$A$2005,A118,'Claim Review'!$C$6:$C$2005,"&lt;&gt;",'Claim Review'!$F$6:$F$2005,"Supported"))</f>
        <v/>
      </c>
      <c r="Q118" s="11">
        <f>IF(A118="","",O118-COUNTIFS('Claim Review'!$A$6:$A$2005,A118,'Claim Review'!$C$6:$C$2005,"&lt;&gt;",'Claim Review'!$K$6:$K$2005,"Yes"))</f>
        <v/>
      </c>
      <c r="R118" s="12">
        <f>IF(AND(A118&lt;&gt;"",COUNTIF($A$6:$A$205,A118)=1,COUNTIF('Test Cases'!$A$6:$A$205,B118)=1,I118&lt;&gt;"",J118&lt;&gt;"",OR(K118="Answered",K118="Clarification",K118="Abstained"),X118="Yes",T118&lt;&gt;"",O118&gt;0,Q118=0),P118/MAX(1,O118),"")</f>
        <v/>
      </c>
      <c r="S118" s="11">
        <f>IF(A118="","",IF(AND(J118="",K118=""),"Pending",IF(COUNTIF($A$6:$A$205,A118)&lt;&gt;1,"Duplicate Run ID",IF(COUNTIF('Test Cases'!$A$6:$A$205,B118)&lt;&gt;1,"Check Test ID",IF(K118="Error","FAIL",IF(OR(I118="",J118=""),"Needs evidence / answer",IF(NOT(OR(K118="Answered",K118="Clarification",K118="Abstained")),"Choose outcome",IF(X118&lt;&gt;"Yes","Confirm claim inventory",IF(AND(K118="Answered",O118=0),"Needs claims",IF(Q118&gt;0,"Needs claim review",IF(OR(NOT(OR(L118="Yes",L118="No")),T118=""),"Needs response review",IF(OR(L118="No",M118&gt;0,N118&gt;0,AND(ISNUMBER(R118),R118&lt;Dashboard!$B$5)),"FAIL","PASS"))))))))))))</f>
        <v/>
      </c>
      <c r="V118" s="11">
        <f>IF(B118="","",IFERROR(VLOOKUP(B118,'Test Cases'!$A$6:$J$205,7,FALSE),"Unknown Test ID"))</f>
        <v/>
      </c>
      <c r="W118" s="11">
        <f>IF(B118="","",IFERROR(VLOOKUP(B118,'Test Cases'!$A$6:$J$205,8,FALSE),"Unknown Test ID"))</f>
        <v/>
      </c>
    </row>
    <row r="119" spans="3:23">
      <c r="C119" s="11">
        <f>IF(B119="","",IFERROR(VLOOKUP(B119,'Test Cases'!$A$6:$J$205,2,FALSE),"Unknown Test ID"))</f>
        <v/>
      </c>
      <c r="D119" s="11">
        <f>IF(B119="","",IFERROR(VLOOKUP(B119,'Test Cases'!$A$6:$J$205,5,FALSE),"Unknown Test ID"))</f>
        <v/>
      </c>
      <c r="M119" s="11">
        <f>IF(A119="","",COUNTIFS('Claim Review'!$A$6:$A$2005,A119,'Claim Review'!$C$6:$C$2005,"&lt;&gt;",'Claim Review'!$G$6:$G$2005,"Wrong citation")+COUNTIFS('Claim Review'!$A$6:$A$2005,A119,'Claim Review'!$C$6:$C$2005,"&lt;&gt;",'Claim Review'!$G$6:$G$2005,"Missing citation"))</f>
        <v/>
      </c>
      <c r="N119" s="11">
        <f>IF(A119="","",COUNTIFS('Claim Review'!$A$6:$A$2005,A119,'Claim Review'!$C$6:$C$2005,"&lt;&gt;",'Claim Review'!$H$6:$H$2005,"Yes"))</f>
        <v/>
      </c>
      <c r="O119" s="11">
        <f>IF(A119="","",COUNTIFS('Claim Review'!$A$6:$A$2005,A119,'Claim Review'!$C$6:$C$2005,"&lt;&gt;"))</f>
        <v/>
      </c>
      <c r="P119" s="11">
        <f>IF(A119="","",COUNTIFS('Claim Review'!$A$6:$A$2005,A119,'Claim Review'!$C$6:$C$2005,"&lt;&gt;",'Claim Review'!$F$6:$F$2005,"Supported"))</f>
        <v/>
      </c>
      <c r="Q119" s="11">
        <f>IF(A119="","",O119-COUNTIFS('Claim Review'!$A$6:$A$2005,A119,'Claim Review'!$C$6:$C$2005,"&lt;&gt;",'Claim Review'!$K$6:$K$2005,"Yes"))</f>
        <v/>
      </c>
      <c r="R119" s="12">
        <f>IF(AND(A119&lt;&gt;"",COUNTIF($A$6:$A$205,A119)=1,COUNTIF('Test Cases'!$A$6:$A$205,B119)=1,I119&lt;&gt;"",J119&lt;&gt;"",OR(K119="Answered",K119="Clarification",K119="Abstained"),X119="Yes",T119&lt;&gt;"",O119&gt;0,Q119=0),P119/MAX(1,O119),"")</f>
        <v/>
      </c>
      <c r="S119" s="11">
        <f>IF(A119="","",IF(AND(J119="",K119=""),"Pending",IF(COUNTIF($A$6:$A$205,A119)&lt;&gt;1,"Duplicate Run ID",IF(COUNTIF('Test Cases'!$A$6:$A$205,B119)&lt;&gt;1,"Check Test ID",IF(K119="Error","FAIL",IF(OR(I119="",J119=""),"Needs evidence / answer",IF(NOT(OR(K119="Answered",K119="Clarification",K119="Abstained")),"Choose outcome",IF(X119&lt;&gt;"Yes","Confirm claim inventory",IF(AND(K119="Answered",O119=0),"Needs claims",IF(Q119&gt;0,"Needs claim review",IF(OR(NOT(OR(L119="Yes",L119="No")),T119=""),"Needs response review",IF(OR(L119="No",M119&gt;0,N119&gt;0,AND(ISNUMBER(R119),R119&lt;Dashboard!$B$5)),"FAIL","PASS"))))))))))))</f>
        <v/>
      </c>
      <c r="V119" s="11">
        <f>IF(B119="","",IFERROR(VLOOKUP(B119,'Test Cases'!$A$6:$J$205,7,FALSE),"Unknown Test ID"))</f>
        <v/>
      </c>
      <c r="W119" s="11">
        <f>IF(B119="","",IFERROR(VLOOKUP(B119,'Test Cases'!$A$6:$J$205,8,FALSE),"Unknown Test ID"))</f>
        <v/>
      </c>
    </row>
    <row r="120" spans="3:23">
      <c r="C120" s="11">
        <f>IF(B120="","",IFERROR(VLOOKUP(B120,'Test Cases'!$A$6:$J$205,2,FALSE),"Unknown Test ID"))</f>
        <v/>
      </c>
      <c r="D120" s="11">
        <f>IF(B120="","",IFERROR(VLOOKUP(B120,'Test Cases'!$A$6:$J$205,5,FALSE),"Unknown Test ID"))</f>
        <v/>
      </c>
      <c r="M120" s="11">
        <f>IF(A120="","",COUNTIFS('Claim Review'!$A$6:$A$2005,A120,'Claim Review'!$C$6:$C$2005,"&lt;&gt;",'Claim Review'!$G$6:$G$2005,"Wrong citation")+COUNTIFS('Claim Review'!$A$6:$A$2005,A120,'Claim Review'!$C$6:$C$2005,"&lt;&gt;",'Claim Review'!$G$6:$G$2005,"Missing citation"))</f>
        <v/>
      </c>
      <c r="N120" s="11">
        <f>IF(A120="","",COUNTIFS('Claim Review'!$A$6:$A$2005,A120,'Claim Review'!$C$6:$C$2005,"&lt;&gt;",'Claim Review'!$H$6:$H$2005,"Yes"))</f>
        <v/>
      </c>
      <c r="O120" s="11">
        <f>IF(A120="","",COUNTIFS('Claim Review'!$A$6:$A$2005,A120,'Claim Review'!$C$6:$C$2005,"&lt;&gt;"))</f>
        <v/>
      </c>
      <c r="P120" s="11">
        <f>IF(A120="","",COUNTIFS('Claim Review'!$A$6:$A$2005,A120,'Claim Review'!$C$6:$C$2005,"&lt;&gt;",'Claim Review'!$F$6:$F$2005,"Supported"))</f>
        <v/>
      </c>
      <c r="Q120" s="11">
        <f>IF(A120="","",O120-COUNTIFS('Claim Review'!$A$6:$A$2005,A120,'Claim Review'!$C$6:$C$2005,"&lt;&gt;",'Claim Review'!$K$6:$K$2005,"Yes"))</f>
        <v/>
      </c>
      <c r="R120" s="12">
        <f>IF(AND(A120&lt;&gt;"",COUNTIF($A$6:$A$205,A120)=1,COUNTIF('Test Cases'!$A$6:$A$205,B120)=1,I120&lt;&gt;"",J120&lt;&gt;"",OR(K120="Answered",K120="Clarification",K120="Abstained"),X120="Yes",T120&lt;&gt;"",O120&gt;0,Q120=0),P120/MAX(1,O120),"")</f>
        <v/>
      </c>
      <c r="S120" s="11">
        <f>IF(A120="","",IF(AND(J120="",K120=""),"Pending",IF(COUNTIF($A$6:$A$205,A120)&lt;&gt;1,"Duplicate Run ID",IF(COUNTIF('Test Cases'!$A$6:$A$205,B120)&lt;&gt;1,"Check Test ID",IF(K120="Error","FAIL",IF(OR(I120="",J120=""),"Needs evidence / answer",IF(NOT(OR(K120="Answered",K120="Clarification",K120="Abstained")),"Choose outcome",IF(X120&lt;&gt;"Yes","Confirm claim inventory",IF(AND(K120="Answered",O120=0),"Needs claims",IF(Q120&gt;0,"Needs claim review",IF(OR(NOT(OR(L120="Yes",L120="No")),T120=""),"Needs response review",IF(OR(L120="No",M120&gt;0,N120&gt;0,AND(ISNUMBER(R120),R120&lt;Dashboard!$B$5)),"FAIL","PASS"))))))))))))</f>
        <v/>
      </c>
      <c r="V120" s="11">
        <f>IF(B120="","",IFERROR(VLOOKUP(B120,'Test Cases'!$A$6:$J$205,7,FALSE),"Unknown Test ID"))</f>
        <v/>
      </c>
      <c r="W120" s="11">
        <f>IF(B120="","",IFERROR(VLOOKUP(B120,'Test Cases'!$A$6:$J$205,8,FALSE),"Unknown Test ID"))</f>
        <v/>
      </c>
    </row>
    <row r="121" spans="3:23">
      <c r="C121" s="11">
        <f>IF(B121="","",IFERROR(VLOOKUP(B121,'Test Cases'!$A$6:$J$205,2,FALSE),"Unknown Test ID"))</f>
        <v/>
      </c>
      <c r="D121" s="11">
        <f>IF(B121="","",IFERROR(VLOOKUP(B121,'Test Cases'!$A$6:$J$205,5,FALSE),"Unknown Test ID"))</f>
        <v/>
      </c>
      <c r="M121" s="11">
        <f>IF(A121="","",COUNTIFS('Claim Review'!$A$6:$A$2005,A121,'Claim Review'!$C$6:$C$2005,"&lt;&gt;",'Claim Review'!$G$6:$G$2005,"Wrong citation")+COUNTIFS('Claim Review'!$A$6:$A$2005,A121,'Claim Review'!$C$6:$C$2005,"&lt;&gt;",'Claim Review'!$G$6:$G$2005,"Missing citation"))</f>
        <v/>
      </c>
      <c r="N121" s="11">
        <f>IF(A121="","",COUNTIFS('Claim Review'!$A$6:$A$2005,A121,'Claim Review'!$C$6:$C$2005,"&lt;&gt;",'Claim Review'!$H$6:$H$2005,"Yes"))</f>
        <v/>
      </c>
      <c r="O121" s="11">
        <f>IF(A121="","",COUNTIFS('Claim Review'!$A$6:$A$2005,A121,'Claim Review'!$C$6:$C$2005,"&lt;&gt;"))</f>
        <v/>
      </c>
      <c r="P121" s="11">
        <f>IF(A121="","",COUNTIFS('Claim Review'!$A$6:$A$2005,A121,'Claim Review'!$C$6:$C$2005,"&lt;&gt;",'Claim Review'!$F$6:$F$2005,"Supported"))</f>
        <v/>
      </c>
      <c r="Q121" s="11">
        <f>IF(A121="","",O121-COUNTIFS('Claim Review'!$A$6:$A$2005,A121,'Claim Review'!$C$6:$C$2005,"&lt;&gt;",'Claim Review'!$K$6:$K$2005,"Yes"))</f>
        <v/>
      </c>
      <c r="R121" s="12">
        <f>IF(AND(A121&lt;&gt;"",COUNTIF($A$6:$A$205,A121)=1,COUNTIF('Test Cases'!$A$6:$A$205,B121)=1,I121&lt;&gt;"",J121&lt;&gt;"",OR(K121="Answered",K121="Clarification",K121="Abstained"),X121="Yes",T121&lt;&gt;"",O121&gt;0,Q121=0),P121/MAX(1,O121),"")</f>
        <v/>
      </c>
      <c r="S121" s="11">
        <f>IF(A121="","",IF(AND(J121="",K121=""),"Pending",IF(COUNTIF($A$6:$A$205,A121)&lt;&gt;1,"Duplicate Run ID",IF(COUNTIF('Test Cases'!$A$6:$A$205,B121)&lt;&gt;1,"Check Test ID",IF(K121="Error","FAIL",IF(OR(I121="",J121=""),"Needs evidence / answer",IF(NOT(OR(K121="Answered",K121="Clarification",K121="Abstained")),"Choose outcome",IF(X121&lt;&gt;"Yes","Confirm claim inventory",IF(AND(K121="Answered",O121=0),"Needs claims",IF(Q121&gt;0,"Needs claim review",IF(OR(NOT(OR(L121="Yes",L121="No")),T121=""),"Needs response review",IF(OR(L121="No",M121&gt;0,N121&gt;0,AND(ISNUMBER(R121),R121&lt;Dashboard!$B$5)),"FAIL","PASS"))))))))))))</f>
        <v/>
      </c>
      <c r="V121" s="11">
        <f>IF(B121="","",IFERROR(VLOOKUP(B121,'Test Cases'!$A$6:$J$205,7,FALSE),"Unknown Test ID"))</f>
        <v/>
      </c>
      <c r="W121" s="11">
        <f>IF(B121="","",IFERROR(VLOOKUP(B121,'Test Cases'!$A$6:$J$205,8,FALSE),"Unknown Test ID"))</f>
        <v/>
      </c>
    </row>
    <row r="122" spans="3:23">
      <c r="C122" s="11">
        <f>IF(B122="","",IFERROR(VLOOKUP(B122,'Test Cases'!$A$6:$J$205,2,FALSE),"Unknown Test ID"))</f>
        <v/>
      </c>
      <c r="D122" s="11">
        <f>IF(B122="","",IFERROR(VLOOKUP(B122,'Test Cases'!$A$6:$J$205,5,FALSE),"Unknown Test ID"))</f>
        <v/>
      </c>
      <c r="M122" s="11">
        <f>IF(A122="","",COUNTIFS('Claim Review'!$A$6:$A$2005,A122,'Claim Review'!$C$6:$C$2005,"&lt;&gt;",'Claim Review'!$G$6:$G$2005,"Wrong citation")+COUNTIFS('Claim Review'!$A$6:$A$2005,A122,'Claim Review'!$C$6:$C$2005,"&lt;&gt;",'Claim Review'!$G$6:$G$2005,"Missing citation"))</f>
        <v/>
      </c>
      <c r="N122" s="11">
        <f>IF(A122="","",COUNTIFS('Claim Review'!$A$6:$A$2005,A122,'Claim Review'!$C$6:$C$2005,"&lt;&gt;",'Claim Review'!$H$6:$H$2005,"Yes"))</f>
        <v/>
      </c>
      <c r="O122" s="11">
        <f>IF(A122="","",COUNTIFS('Claim Review'!$A$6:$A$2005,A122,'Claim Review'!$C$6:$C$2005,"&lt;&gt;"))</f>
        <v/>
      </c>
      <c r="P122" s="11">
        <f>IF(A122="","",COUNTIFS('Claim Review'!$A$6:$A$2005,A122,'Claim Review'!$C$6:$C$2005,"&lt;&gt;",'Claim Review'!$F$6:$F$2005,"Supported"))</f>
        <v/>
      </c>
      <c r="Q122" s="11">
        <f>IF(A122="","",O122-COUNTIFS('Claim Review'!$A$6:$A$2005,A122,'Claim Review'!$C$6:$C$2005,"&lt;&gt;",'Claim Review'!$K$6:$K$2005,"Yes"))</f>
        <v/>
      </c>
      <c r="R122" s="12">
        <f>IF(AND(A122&lt;&gt;"",COUNTIF($A$6:$A$205,A122)=1,COUNTIF('Test Cases'!$A$6:$A$205,B122)=1,I122&lt;&gt;"",J122&lt;&gt;"",OR(K122="Answered",K122="Clarification",K122="Abstained"),X122="Yes",T122&lt;&gt;"",O122&gt;0,Q122=0),P122/MAX(1,O122),"")</f>
        <v/>
      </c>
      <c r="S122" s="11">
        <f>IF(A122="","",IF(AND(J122="",K122=""),"Pending",IF(COUNTIF($A$6:$A$205,A122)&lt;&gt;1,"Duplicate Run ID",IF(COUNTIF('Test Cases'!$A$6:$A$205,B122)&lt;&gt;1,"Check Test ID",IF(K122="Error","FAIL",IF(OR(I122="",J122=""),"Needs evidence / answer",IF(NOT(OR(K122="Answered",K122="Clarification",K122="Abstained")),"Choose outcome",IF(X122&lt;&gt;"Yes","Confirm claim inventory",IF(AND(K122="Answered",O122=0),"Needs claims",IF(Q122&gt;0,"Needs claim review",IF(OR(NOT(OR(L122="Yes",L122="No")),T122=""),"Needs response review",IF(OR(L122="No",M122&gt;0,N122&gt;0,AND(ISNUMBER(R122),R122&lt;Dashboard!$B$5)),"FAIL","PASS"))))))))))))</f>
        <v/>
      </c>
      <c r="V122" s="11">
        <f>IF(B122="","",IFERROR(VLOOKUP(B122,'Test Cases'!$A$6:$J$205,7,FALSE),"Unknown Test ID"))</f>
        <v/>
      </c>
      <c r="W122" s="11">
        <f>IF(B122="","",IFERROR(VLOOKUP(B122,'Test Cases'!$A$6:$J$205,8,FALSE),"Unknown Test ID"))</f>
        <v/>
      </c>
    </row>
    <row r="123" spans="3:23">
      <c r="C123" s="11">
        <f>IF(B123="","",IFERROR(VLOOKUP(B123,'Test Cases'!$A$6:$J$205,2,FALSE),"Unknown Test ID"))</f>
        <v/>
      </c>
      <c r="D123" s="11">
        <f>IF(B123="","",IFERROR(VLOOKUP(B123,'Test Cases'!$A$6:$J$205,5,FALSE),"Unknown Test ID"))</f>
        <v/>
      </c>
      <c r="M123" s="11">
        <f>IF(A123="","",COUNTIFS('Claim Review'!$A$6:$A$2005,A123,'Claim Review'!$C$6:$C$2005,"&lt;&gt;",'Claim Review'!$G$6:$G$2005,"Wrong citation")+COUNTIFS('Claim Review'!$A$6:$A$2005,A123,'Claim Review'!$C$6:$C$2005,"&lt;&gt;",'Claim Review'!$G$6:$G$2005,"Missing citation"))</f>
        <v/>
      </c>
      <c r="N123" s="11">
        <f>IF(A123="","",COUNTIFS('Claim Review'!$A$6:$A$2005,A123,'Claim Review'!$C$6:$C$2005,"&lt;&gt;",'Claim Review'!$H$6:$H$2005,"Yes"))</f>
        <v/>
      </c>
      <c r="O123" s="11">
        <f>IF(A123="","",COUNTIFS('Claim Review'!$A$6:$A$2005,A123,'Claim Review'!$C$6:$C$2005,"&lt;&gt;"))</f>
        <v/>
      </c>
      <c r="P123" s="11">
        <f>IF(A123="","",COUNTIFS('Claim Review'!$A$6:$A$2005,A123,'Claim Review'!$C$6:$C$2005,"&lt;&gt;",'Claim Review'!$F$6:$F$2005,"Supported"))</f>
        <v/>
      </c>
      <c r="Q123" s="11">
        <f>IF(A123="","",O123-COUNTIFS('Claim Review'!$A$6:$A$2005,A123,'Claim Review'!$C$6:$C$2005,"&lt;&gt;",'Claim Review'!$K$6:$K$2005,"Yes"))</f>
        <v/>
      </c>
      <c r="R123" s="12">
        <f>IF(AND(A123&lt;&gt;"",COUNTIF($A$6:$A$205,A123)=1,COUNTIF('Test Cases'!$A$6:$A$205,B123)=1,I123&lt;&gt;"",J123&lt;&gt;"",OR(K123="Answered",K123="Clarification",K123="Abstained"),X123="Yes",T123&lt;&gt;"",O123&gt;0,Q123=0),P123/MAX(1,O123),"")</f>
        <v/>
      </c>
      <c r="S123" s="11">
        <f>IF(A123="","",IF(AND(J123="",K123=""),"Pending",IF(COUNTIF($A$6:$A$205,A123)&lt;&gt;1,"Duplicate Run ID",IF(COUNTIF('Test Cases'!$A$6:$A$205,B123)&lt;&gt;1,"Check Test ID",IF(K123="Error","FAIL",IF(OR(I123="",J123=""),"Needs evidence / answer",IF(NOT(OR(K123="Answered",K123="Clarification",K123="Abstained")),"Choose outcome",IF(X123&lt;&gt;"Yes","Confirm claim inventory",IF(AND(K123="Answered",O123=0),"Needs claims",IF(Q123&gt;0,"Needs claim review",IF(OR(NOT(OR(L123="Yes",L123="No")),T123=""),"Needs response review",IF(OR(L123="No",M123&gt;0,N123&gt;0,AND(ISNUMBER(R123),R123&lt;Dashboard!$B$5)),"FAIL","PASS"))))))))))))</f>
        <v/>
      </c>
      <c r="V123" s="11">
        <f>IF(B123="","",IFERROR(VLOOKUP(B123,'Test Cases'!$A$6:$J$205,7,FALSE),"Unknown Test ID"))</f>
        <v/>
      </c>
      <c r="W123" s="11">
        <f>IF(B123="","",IFERROR(VLOOKUP(B123,'Test Cases'!$A$6:$J$205,8,FALSE),"Unknown Test ID"))</f>
        <v/>
      </c>
    </row>
    <row r="124" spans="3:23">
      <c r="C124" s="11">
        <f>IF(B124="","",IFERROR(VLOOKUP(B124,'Test Cases'!$A$6:$J$205,2,FALSE),"Unknown Test ID"))</f>
        <v/>
      </c>
      <c r="D124" s="11">
        <f>IF(B124="","",IFERROR(VLOOKUP(B124,'Test Cases'!$A$6:$J$205,5,FALSE),"Unknown Test ID"))</f>
        <v/>
      </c>
      <c r="M124" s="11">
        <f>IF(A124="","",COUNTIFS('Claim Review'!$A$6:$A$2005,A124,'Claim Review'!$C$6:$C$2005,"&lt;&gt;",'Claim Review'!$G$6:$G$2005,"Wrong citation")+COUNTIFS('Claim Review'!$A$6:$A$2005,A124,'Claim Review'!$C$6:$C$2005,"&lt;&gt;",'Claim Review'!$G$6:$G$2005,"Missing citation"))</f>
        <v/>
      </c>
      <c r="N124" s="11">
        <f>IF(A124="","",COUNTIFS('Claim Review'!$A$6:$A$2005,A124,'Claim Review'!$C$6:$C$2005,"&lt;&gt;",'Claim Review'!$H$6:$H$2005,"Yes"))</f>
        <v/>
      </c>
      <c r="O124" s="11">
        <f>IF(A124="","",COUNTIFS('Claim Review'!$A$6:$A$2005,A124,'Claim Review'!$C$6:$C$2005,"&lt;&gt;"))</f>
        <v/>
      </c>
      <c r="P124" s="11">
        <f>IF(A124="","",COUNTIFS('Claim Review'!$A$6:$A$2005,A124,'Claim Review'!$C$6:$C$2005,"&lt;&gt;",'Claim Review'!$F$6:$F$2005,"Supported"))</f>
        <v/>
      </c>
      <c r="Q124" s="11">
        <f>IF(A124="","",O124-COUNTIFS('Claim Review'!$A$6:$A$2005,A124,'Claim Review'!$C$6:$C$2005,"&lt;&gt;",'Claim Review'!$K$6:$K$2005,"Yes"))</f>
        <v/>
      </c>
      <c r="R124" s="12">
        <f>IF(AND(A124&lt;&gt;"",COUNTIF($A$6:$A$205,A124)=1,COUNTIF('Test Cases'!$A$6:$A$205,B124)=1,I124&lt;&gt;"",J124&lt;&gt;"",OR(K124="Answered",K124="Clarification",K124="Abstained"),X124="Yes",T124&lt;&gt;"",O124&gt;0,Q124=0),P124/MAX(1,O124),"")</f>
        <v/>
      </c>
      <c r="S124" s="11">
        <f>IF(A124="","",IF(AND(J124="",K124=""),"Pending",IF(COUNTIF($A$6:$A$205,A124)&lt;&gt;1,"Duplicate Run ID",IF(COUNTIF('Test Cases'!$A$6:$A$205,B124)&lt;&gt;1,"Check Test ID",IF(K124="Error","FAIL",IF(OR(I124="",J124=""),"Needs evidence / answer",IF(NOT(OR(K124="Answered",K124="Clarification",K124="Abstained")),"Choose outcome",IF(X124&lt;&gt;"Yes","Confirm claim inventory",IF(AND(K124="Answered",O124=0),"Needs claims",IF(Q124&gt;0,"Needs claim review",IF(OR(NOT(OR(L124="Yes",L124="No")),T124=""),"Needs response review",IF(OR(L124="No",M124&gt;0,N124&gt;0,AND(ISNUMBER(R124),R124&lt;Dashboard!$B$5)),"FAIL","PASS"))))))))))))</f>
        <v/>
      </c>
      <c r="V124" s="11">
        <f>IF(B124="","",IFERROR(VLOOKUP(B124,'Test Cases'!$A$6:$J$205,7,FALSE),"Unknown Test ID"))</f>
        <v/>
      </c>
      <c r="W124" s="11">
        <f>IF(B124="","",IFERROR(VLOOKUP(B124,'Test Cases'!$A$6:$J$205,8,FALSE),"Unknown Test ID"))</f>
        <v/>
      </c>
    </row>
    <row r="125" spans="3:23">
      <c r="C125" s="11">
        <f>IF(B125="","",IFERROR(VLOOKUP(B125,'Test Cases'!$A$6:$J$205,2,FALSE),"Unknown Test ID"))</f>
        <v/>
      </c>
      <c r="D125" s="11">
        <f>IF(B125="","",IFERROR(VLOOKUP(B125,'Test Cases'!$A$6:$J$205,5,FALSE),"Unknown Test ID"))</f>
        <v/>
      </c>
      <c r="M125" s="11">
        <f>IF(A125="","",COUNTIFS('Claim Review'!$A$6:$A$2005,A125,'Claim Review'!$C$6:$C$2005,"&lt;&gt;",'Claim Review'!$G$6:$G$2005,"Wrong citation")+COUNTIFS('Claim Review'!$A$6:$A$2005,A125,'Claim Review'!$C$6:$C$2005,"&lt;&gt;",'Claim Review'!$G$6:$G$2005,"Missing citation"))</f>
        <v/>
      </c>
      <c r="N125" s="11">
        <f>IF(A125="","",COUNTIFS('Claim Review'!$A$6:$A$2005,A125,'Claim Review'!$C$6:$C$2005,"&lt;&gt;",'Claim Review'!$H$6:$H$2005,"Yes"))</f>
        <v/>
      </c>
      <c r="O125" s="11">
        <f>IF(A125="","",COUNTIFS('Claim Review'!$A$6:$A$2005,A125,'Claim Review'!$C$6:$C$2005,"&lt;&gt;"))</f>
        <v/>
      </c>
      <c r="P125" s="11">
        <f>IF(A125="","",COUNTIFS('Claim Review'!$A$6:$A$2005,A125,'Claim Review'!$C$6:$C$2005,"&lt;&gt;",'Claim Review'!$F$6:$F$2005,"Supported"))</f>
        <v/>
      </c>
      <c r="Q125" s="11">
        <f>IF(A125="","",O125-COUNTIFS('Claim Review'!$A$6:$A$2005,A125,'Claim Review'!$C$6:$C$2005,"&lt;&gt;",'Claim Review'!$K$6:$K$2005,"Yes"))</f>
        <v/>
      </c>
      <c r="R125" s="12">
        <f>IF(AND(A125&lt;&gt;"",COUNTIF($A$6:$A$205,A125)=1,COUNTIF('Test Cases'!$A$6:$A$205,B125)=1,I125&lt;&gt;"",J125&lt;&gt;"",OR(K125="Answered",K125="Clarification",K125="Abstained"),X125="Yes",T125&lt;&gt;"",O125&gt;0,Q125=0),P125/MAX(1,O125),"")</f>
        <v/>
      </c>
      <c r="S125" s="11">
        <f>IF(A125="","",IF(AND(J125="",K125=""),"Pending",IF(COUNTIF($A$6:$A$205,A125)&lt;&gt;1,"Duplicate Run ID",IF(COUNTIF('Test Cases'!$A$6:$A$205,B125)&lt;&gt;1,"Check Test ID",IF(K125="Error","FAIL",IF(OR(I125="",J125=""),"Needs evidence / answer",IF(NOT(OR(K125="Answered",K125="Clarification",K125="Abstained")),"Choose outcome",IF(X125&lt;&gt;"Yes","Confirm claim inventory",IF(AND(K125="Answered",O125=0),"Needs claims",IF(Q125&gt;0,"Needs claim review",IF(OR(NOT(OR(L125="Yes",L125="No")),T125=""),"Needs response review",IF(OR(L125="No",M125&gt;0,N125&gt;0,AND(ISNUMBER(R125),R125&lt;Dashboard!$B$5)),"FAIL","PASS"))))))))))))</f>
        <v/>
      </c>
      <c r="V125" s="11">
        <f>IF(B125="","",IFERROR(VLOOKUP(B125,'Test Cases'!$A$6:$J$205,7,FALSE),"Unknown Test ID"))</f>
        <v/>
      </c>
      <c r="W125" s="11">
        <f>IF(B125="","",IFERROR(VLOOKUP(B125,'Test Cases'!$A$6:$J$205,8,FALSE),"Unknown Test ID"))</f>
        <v/>
      </c>
    </row>
    <row r="126" spans="3:23">
      <c r="C126" s="11">
        <f>IF(B126="","",IFERROR(VLOOKUP(B126,'Test Cases'!$A$6:$J$205,2,FALSE),"Unknown Test ID"))</f>
        <v/>
      </c>
      <c r="D126" s="11">
        <f>IF(B126="","",IFERROR(VLOOKUP(B126,'Test Cases'!$A$6:$J$205,5,FALSE),"Unknown Test ID"))</f>
        <v/>
      </c>
      <c r="M126" s="11">
        <f>IF(A126="","",COUNTIFS('Claim Review'!$A$6:$A$2005,A126,'Claim Review'!$C$6:$C$2005,"&lt;&gt;",'Claim Review'!$G$6:$G$2005,"Wrong citation")+COUNTIFS('Claim Review'!$A$6:$A$2005,A126,'Claim Review'!$C$6:$C$2005,"&lt;&gt;",'Claim Review'!$G$6:$G$2005,"Missing citation"))</f>
        <v/>
      </c>
      <c r="N126" s="11">
        <f>IF(A126="","",COUNTIFS('Claim Review'!$A$6:$A$2005,A126,'Claim Review'!$C$6:$C$2005,"&lt;&gt;",'Claim Review'!$H$6:$H$2005,"Yes"))</f>
        <v/>
      </c>
      <c r="O126" s="11">
        <f>IF(A126="","",COUNTIFS('Claim Review'!$A$6:$A$2005,A126,'Claim Review'!$C$6:$C$2005,"&lt;&gt;"))</f>
        <v/>
      </c>
      <c r="P126" s="11">
        <f>IF(A126="","",COUNTIFS('Claim Review'!$A$6:$A$2005,A126,'Claim Review'!$C$6:$C$2005,"&lt;&gt;",'Claim Review'!$F$6:$F$2005,"Supported"))</f>
        <v/>
      </c>
      <c r="Q126" s="11">
        <f>IF(A126="","",O126-COUNTIFS('Claim Review'!$A$6:$A$2005,A126,'Claim Review'!$C$6:$C$2005,"&lt;&gt;",'Claim Review'!$K$6:$K$2005,"Yes"))</f>
        <v/>
      </c>
      <c r="R126" s="12">
        <f>IF(AND(A126&lt;&gt;"",COUNTIF($A$6:$A$205,A126)=1,COUNTIF('Test Cases'!$A$6:$A$205,B126)=1,I126&lt;&gt;"",J126&lt;&gt;"",OR(K126="Answered",K126="Clarification",K126="Abstained"),X126="Yes",T126&lt;&gt;"",O126&gt;0,Q126=0),P126/MAX(1,O126),"")</f>
        <v/>
      </c>
      <c r="S126" s="11">
        <f>IF(A126="","",IF(AND(J126="",K126=""),"Pending",IF(COUNTIF($A$6:$A$205,A126)&lt;&gt;1,"Duplicate Run ID",IF(COUNTIF('Test Cases'!$A$6:$A$205,B126)&lt;&gt;1,"Check Test ID",IF(K126="Error","FAIL",IF(OR(I126="",J126=""),"Needs evidence / answer",IF(NOT(OR(K126="Answered",K126="Clarification",K126="Abstained")),"Choose outcome",IF(X126&lt;&gt;"Yes","Confirm claim inventory",IF(AND(K126="Answered",O126=0),"Needs claims",IF(Q126&gt;0,"Needs claim review",IF(OR(NOT(OR(L126="Yes",L126="No")),T126=""),"Needs response review",IF(OR(L126="No",M126&gt;0,N126&gt;0,AND(ISNUMBER(R126),R126&lt;Dashboard!$B$5)),"FAIL","PASS"))))))))))))</f>
        <v/>
      </c>
      <c r="V126" s="11">
        <f>IF(B126="","",IFERROR(VLOOKUP(B126,'Test Cases'!$A$6:$J$205,7,FALSE),"Unknown Test ID"))</f>
        <v/>
      </c>
      <c r="W126" s="11">
        <f>IF(B126="","",IFERROR(VLOOKUP(B126,'Test Cases'!$A$6:$J$205,8,FALSE),"Unknown Test ID"))</f>
        <v/>
      </c>
    </row>
    <row r="127" spans="3:23">
      <c r="C127" s="11">
        <f>IF(B127="","",IFERROR(VLOOKUP(B127,'Test Cases'!$A$6:$J$205,2,FALSE),"Unknown Test ID"))</f>
        <v/>
      </c>
      <c r="D127" s="11">
        <f>IF(B127="","",IFERROR(VLOOKUP(B127,'Test Cases'!$A$6:$J$205,5,FALSE),"Unknown Test ID"))</f>
        <v/>
      </c>
      <c r="M127" s="11">
        <f>IF(A127="","",COUNTIFS('Claim Review'!$A$6:$A$2005,A127,'Claim Review'!$C$6:$C$2005,"&lt;&gt;",'Claim Review'!$G$6:$G$2005,"Wrong citation")+COUNTIFS('Claim Review'!$A$6:$A$2005,A127,'Claim Review'!$C$6:$C$2005,"&lt;&gt;",'Claim Review'!$G$6:$G$2005,"Missing citation"))</f>
        <v/>
      </c>
      <c r="N127" s="11">
        <f>IF(A127="","",COUNTIFS('Claim Review'!$A$6:$A$2005,A127,'Claim Review'!$C$6:$C$2005,"&lt;&gt;",'Claim Review'!$H$6:$H$2005,"Yes"))</f>
        <v/>
      </c>
      <c r="O127" s="11">
        <f>IF(A127="","",COUNTIFS('Claim Review'!$A$6:$A$2005,A127,'Claim Review'!$C$6:$C$2005,"&lt;&gt;"))</f>
        <v/>
      </c>
      <c r="P127" s="11">
        <f>IF(A127="","",COUNTIFS('Claim Review'!$A$6:$A$2005,A127,'Claim Review'!$C$6:$C$2005,"&lt;&gt;",'Claim Review'!$F$6:$F$2005,"Supported"))</f>
        <v/>
      </c>
      <c r="Q127" s="11">
        <f>IF(A127="","",O127-COUNTIFS('Claim Review'!$A$6:$A$2005,A127,'Claim Review'!$C$6:$C$2005,"&lt;&gt;",'Claim Review'!$K$6:$K$2005,"Yes"))</f>
        <v/>
      </c>
      <c r="R127" s="12">
        <f>IF(AND(A127&lt;&gt;"",COUNTIF($A$6:$A$205,A127)=1,COUNTIF('Test Cases'!$A$6:$A$205,B127)=1,I127&lt;&gt;"",J127&lt;&gt;"",OR(K127="Answered",K127="Clarification",K127="Abstained"),X127="Yes",T127&lt;&gt;"",O127&gt;0,Q127=0),P127/MAX(1,O127),"")</f>
        <v/>
      </c>
      <c r="S127" s="11">
        <f>IF(A127="","",IF(AND(J127="",K127=""),"Pending",IF(COUNTIF($A$6:$A$205,A127)&lt;&gt;1,"Duplicate Run ID",IF(COUNTIF('Test Cases'!$A$6:$A$205,B127)&lt;&gt;1,"Check Test ID",IF(K127="Error","FAIL",IF(OR(I127="",J127=""),"Needs evidence / answer",IF(NOT(OR(K127="Answered",K127="Clarification",K127="Abstained")),"Choose outcome",IF(X127&lt;&gt;"Yes","Confirm claim inventory",IF(AND(K127="Answered",O127=0),"Needs claims",IF(Q127&gt;0,"Needs claim review",IF(OR(NOT(OR(L127="Yes",L127="No")),T127=""),"Needs response review",IF(OR(L127="No",M127&gt;0,N127&gt;0,AND(ISNUMBER(R127),R127&lt;Dashboard!$B$5)),"FAIL","PASS"))))))))))))</f>
        <v/>
      </c>
      <c r="V127" s="11">
        <f>IF(B127="","",IFERROR(VLOOKUP(B127,'Test Cases'!$A$6:$J$205,7,FALSE),"Unknown Test ID"))</f>
        <v/>
      </c>
      <c r="W127" s="11">
        <f>IF(B127="","",IFERROR(VLOOKUP(B127,'Test Cases'!$A$6:$J$205,8,FALSE),"Unknown Test ID"))</f>
        <v/>
      </c>
    </row>
    <row r="128" spans="3:23">
      <c r="C128" s="11">
        <f>IF(B128="","",IFERROR(VLOOKUP(B128,'Test Cases'!$A$6:$J$205,2,FALSE),"Unknown Test ID"))</f>
        <v/>
      </c>
      <c r="D128" s="11">
        <f>IF(B128="","",IFERROR(VLOOKUP(B128,'Test Cases'!$A$6:$J$205,5,FALSE),"Unknown Test ID"))</f>
        <v/>
      </c>
      <c r="M128" s="11">
        <f>IF(A128="","",COUNTIFS('Claim Review'!$A$6:$A$2005,A128,'Claim Review'!$C$6:$C$2005,"&lt;&gt;",'Claim Review'!$G$6:$G$2005,"Wrong citation")+COUNTIFS('Claim Review'!$A$6:$A$2005,A128,'Claim Review'!$C$6:$C$2005,"&lt;&gt;",'Claim Review'!$G$6:$G$2005,"Missing citation"))</f>
        <v/>
      </c>
      <c r="N128" s="11">
        <f>IF(A128="","",COUNTIFS('Claim Review'!$A$6:$A$2005,A128,'Claim Review'!$C$6:$C$2005,"&lt;&gt;",'Claim Review'!$H$6:$H$2005,"Yes"))</f>
        <v/>
      </c>
      <c r="O128" s="11">
        <f>IF(A128="","",COUNTIFS('Claim Review'!$A$6:$A$2005,A128,'Claim Review'!$C$6:$C$2005,"&lt;&gt;"))</f>
        <v/>
      </c>
      <c r="P128" s="11">
        <f>IF(A128="","",COUNTIFS('Claim Review'!$A$6:$A$2005,A128,'Claim Review'!$C$6:$C$2005,"&lt;&gt;",'Claim Review'!$F$6:$F$2005,"Supported"))</f>
        <v/>
      </c>
      <c r="Q128" s="11">
        <f>IF(A128="","",O128-COUNTIFS('Claim Review'!$A$6:$A$2005,A128,'Claim Review'!$C$6:$C$2005,"&lt;&gt;",'Claim Review'!$K$6:$K$2005,"Yes"))</f>
        <v/>
      </c>
      <c r="R128" s="12">
        <f>IF(AND(A128&lt;&gt;"",COUNTIF($A$6:$A$205,A128)=1,COUNTIF('Test Cases'!$A$6:$A$205,B128)=1,I128&lt;&gt;"",J128&lt;&gt;"",OR(K128="Answered",K128="Clarification",K128="Abstained"),X128="Yes",T128&lt;&gt;"",O128&gt;0,Q128=0),P128/MAX(1,O128),"")</f>
        <v/>
      </c>
      <c r="S128" s="11">
        <f>IF(A128="","",IF(AND(J128="",K128=""),"Pending",IF(COUNTIF($A$6:$A$205,A128)&lt;&gt;1,"Duplicate Run ID",IF(COUNTIF('Test Cases'!$A$6:$A$205,B128)&lt;&gt;1,"Check Test ID",IF(K128="Error","FAIL",IF(OR(I128="",J128=""),"Needs evidence / answer",IF(NOT(OR(K128="Answered",K128="Clarification",K128="Abstained")),"Choose outcome",IF(X128&lt;&gt;"Yes","Confirm claim inventory",IF(AND(K128="Answered",O128=0),"Needs claims",IF(Q128&gt;0,"Needs claim review",IF(OR(NOT(OR(L128="Yes",L128="No")),T128=""),"Needs response review",IF(OR(L128="No",M128&gt;0,N128&gt;0,AND(ISNUMBER(R128),R128&lt;Dashboard!$B$5)),"FAIL","PASS"))))))))))))</f>
        <v/>
      </c>
      <c r="V128" s="11">
        <f>IF(B128="","",IFERROR(VLOOKUP(B128,'Test Cases'!$A$6:$J$205,7,FALSE),"Unknown Test ID"))</f>
        <v/>
      </c>
      <c r="W128" s="11">
        <f>IF(B128="","",IFERROR(VLOOKUP(B128,'Test Cases'!$A$6:$J$205,8,FALSE),"Unknown Test ID"))</f>
        <v/>
      </c>
    </row>
    <row r="129" spans="3:23">
      <c r="C129" s="11">
        <f>IF(B129="","",IFERROR(VLOOKUP(B129,'Test Cases'!$A$6:$J$205,2,FALSE),"Unknown Test ID"))</f>
        <v/>
      </c>
      <c r="D129" s="11">
        <f>IF(B129="","",IFERROR(VLOOKUP(B129,'Test Cases'!$A$6:$J$205,5,FALSE),"Unknown Test ID"))</f>
        <v/>
      </c>
      <c r="M129" s="11">
        <f>IF(A129="","",COUNTIFS('Claim Review'!$A$6:$A$2005,A129,'Claim Review'!$C$6:$C$2005,"&lt;&gt;",'Claim Review'!$G$6:$G$2005,"Wrong citation")+COUNTIFS('Claim Review'!$A$6:$A$2005,A129,'Claim Review'!$C$6:$C$2005,"&lt;&gt;",'Claim Review'!$G$6:$G$2005,"Missing citation"))</f>
        <v/>
      </c>
      <c r="N129" s="11">
        <f>IF(A129="","",COUNTIFS('Claim Review'!$A$6:$A$2005,A129,'Claim Review'!$C$6:$C$2005,"&lt;&gt;",'Claim Review'!$H$6:$H$2005,"Yes"))</f>
        <v/>
      </c>
      <c r="O129" s="11">
        <f>IF(A129="","",COUNTIFS('Claim Review'!$A$6:$A$2005,A129,'Claim Review'!$C$6:$C$2005,"&lt;&gt;"))</f>
        <v/>
      </c>
      <c r="P129" s="11">
        <f>IF(A129="","",COUNTIFS('Claim Review'!$A$6:$A$2005,A129,'Claim Review'!$C$6:$C$2005,"&lt;&gt;",'Claim Review'!$F$6:$F$2005,"Supported"))</f>
        <v/>
      </c>
      <c r="Q129" s="11">
        <f>IF(A129="","",O129-COUNTIFS('Claim Review'!$A$6:$A$2005,A129,'Claim Review'!$C$6:$C$2005,"&lt;&gt;",'Claim Review'!$K$6:$K$2005,"Yes"))</f>
        <v/>
      </c>
      <c r="R129" s="12">
        <f>IF(AND(A129&lt;&gt;"",COUNTIF($A$6:$A$205,A129)=1,COUNTIF('Test Cases'!$A$6:$A$205,B129)=1,I129&lt;&gt;"",J129&lt;&gt;"",OR(K129="Answered",K129="Clarification",K129="Abstained"),X129="Yes",T129&lt;&gt;"",O129&gt;0,Q129=0),P129/MAX(1,O129),"")</f>
        <v/>
      </c>
      <c r="S129" s="11">
        <f>IF(A129="","",IF(AND(J129="",K129=""),"Pending",IF(COUNTIF($A$6:$A$205,A129)&lt;&gt;1,"Duplicate Run ID",IF(COUNTIF('Test Cases'!$A$6:$A$205,B129)&lt;&gt;1,"Check Test ID",IF(K129="Error","FAIL",IF(OR(I129="",J129=""),"Needs evidence / answer",IF(NOT(OR(K129="Answered",K129="Clarification",K129="Abstained")),"Choose outcome",IF(X129&lt;&gt;"Yes","Confirm claim inventory",IF(AND(K129="Answered",O129=0),"Needs claims",IF(Q129&gt;0,"Needs claim review",IF(OR(NOT(OR(L129="Yes",L129="No")),T129=""),"Needs response review",IF(OR(L129="No",M129&gt;0,N129&gt;0,AND(ISNUMBER(R129),R129&lt;Dashboard!$B$5)),"FAIL","PASS"))))))))))))</f>
        <v/>
      </c>
      <c r="V129" s="11">
        <f>IF(B129="","",IFERROR(VLOOKUP(B129,'Test Cases'!$A$6:$J$205,7,FALSE),"Unknown Test ID"))</f>
        <v/>
      </c>
      <c r="W129" s="11">
        <f>IF(B129="","",IFERROR(VLOOKUP(B129,'Test Cases'!$A$6:$J$205,8,FALSE),"Unknown Test ID"))</f>
        <v/>
      </c>
    </row>
    <row r="130" spans="3:23">
      <c r="C130" s="11">
        <f>IF(B130="","",IFERROR(VLOOKUP(B130,'Test Cases'!$A$6:$J$205,2,FALSE),"Unknown Test ID"))</f>
        <v/>
      </c>
      <c r="D130" s="11">
        <f>IF(B130="","",IFERROR(VLOOKUP(B130,'Test Cases'!$A$6:$J$205,5,FALSE),"Unknown Test ID"))</f>
        <v/>
      </c>
      <c r="M130" s="11">
        <f>IF(A130="","",COUNTIFS('Claim Review'!$A$6:$A$2005,A130,'Claim Review'!$C$6:$C$2005,"&lt;&gt;",'Claim Review'!$G$6:$G$2005,"Wrong citation")+COUNTIFS('Claim Review'!$A$6:$A$2005,A130,'Claim Review'!$C$6:$C$2005,"&lt;&gt;",'Claim Review'!$G$6:$G$2005,"Missing citation"))</f>
        <v/>
      </c>
      <c r="N130" s="11">
        <f>IF(A130="","",COUNTIFS('Claim Review'!$A$6:$A$2005,A130,'Claim Review'!$C$6:$C$2005,"&lt;&gt;",'Claim Review'!$H$6:$H$2005,"Yes"))</f>
        <v/>
      </c>
      <c r="O130" s="11">
        <f>IF(A130="","",COUNTIFS('Claim Review'!$A$6:$A$2005,A130,'Claim Review'!$C$6:$C$2005,"&lt;&gt;"))</f>
        <v/>
      </c>
      <c r="P130" s="11">
        <f>IF(A130="","",COUNTIFS('Claim Review'!$A$6:$A$2005,A130,'Claim Review'!$C$6:$C$2005,"&lt;&gt;",'Claim Review'!$F$6:$F$2005,"Supported"))</f>
        <v/>
      </c>
      <c r="Q130" s="11">
        <f>IF(A130="","",O130-COUNTIFS('Claim Review'!$A$6:$A$2005,A130,'Claim Review'!$C$6:$C$2005,"&lt;&gt;",'Claim Review'!$K$6:$K$2005,"Yes"))</f>
        <v/>
      </c>
      <c r="R130" s="12">
        <f>IF(AND(A130&lt;&gt;"",COUNTIF($A$6:$A$205,A130)=1,COUNTIF('Test Cases'!$A$6:$A$205,B130)=1,I130&lt;&gt;"",J130&lt;&gt;"",OR(K130="Answered",K130="Clarification",K130="Abstained"),X130="Yes",T130&lt;&gt;"",O130&gt;0,Q130=0),P130/MAX(1,O130),"")</f>
        <v/>
      </c>
      <c r="S130" s="11">
        <f>IF(A130="","",IF(AND(J130="",K130=""),"Pending",IF(COUNTIF($A$6:$A$205,A130)&lt;&gt;1,"Duplicate Run ID",IF(COUNTIF('Test Cases'!$A$6:$A$205,B130)&lt;&gt;1,"Check Test ID",IF(K130="Error","FAIL",IF(OR(I130="",J130=""),"Needs evidence / answer",IF(NOT(OR(K130="Answered",K130="Clarification",K130="Abstained")),"Choose outcome",IF(X130&lt;&gt;"Yes","Confirm claim inventory",IF(AND(K130="Answered",O130=0),"Needs claims",IF(Q130&gt;0,"Needs claim review",IF(OR(NOT(OR(L130="Yes",L130="No")),T130=""),"Needs response review",IF(OR(L130="No",M130&gt;0,N130&gt;0,AND(ISNUMBER(R130),R130&lt;Dashboard!$B$5)),"FAIL","PASS"))))))))))))</f>
        <v/>
      </c>
      <c r="V130" s="11">
        <f>IF(B130="","",IFERROR(VLOOKUP(B130,'Test Cases'!$A$6:$J$205,7,FALSE),"Unknown Test ID"))</f>
        <v/>
      </c>
      <c r="W130" s="11">
        <f>IF(B130="","",IFERROR(VLOOKUP(B130,'Test Cases'!$A$6:$J$205,8,FALSE),"Unknown Test ID"))</f>
        <v/>
      </c>
    </row>
    <row r="131" spans="3:23">
      <c r="C131" s="11">
        <f>IF(B131="","",IFERROR(VLOOKUP(B131,'Test Cases'!$A$6:$J$205,2,FALSE),"Unknown Test ID"))</f>
        <v/>
      </c>
      <c r="D131" s="11">
        <f>IF(B131="","",IFERROR(VLOOKUP(B131,'Test Cases'!$A$6:$J$205,5,FALSE),"Unknown Test ID"))</f>
        <v/>
      </c>
      <c r="M131" s="11">
        <f>IF(A131="","",COUNTIFS('Claim Review'!$A$6:$A$2005,A131,'Claim Review'!$C$6:$C$2005,"&lt;&gt;",'Claim Review'!$G$6:$G$2005,"Wrong citation")+COUNTIFS('Claim Review'!$A$6:$A$2005,A131,'Claim Review'!$C$6:$C$2005,"&lt;&gt;",'Claim Review'!$G$6:$G$2005,"Missing citation"))</f>
        <v/>
      </c>
      <c r="N131" s="11">
        <f>IF(A131="","",COUNTIFS('Claim Review'!$A$6:$A$2005,A131,'Claim Review'!$C$6:$C$2005,"&lt;&gt;",'Claim Review'!$H$6:$H$2005,"Yes"))</f>
        <v/>
      </c>
      <c r="O131" s="11">
        <f>IF(A131="","",COUNTIFS('Claim Review'!$A$6:$A$2005,A131,'Claim Review'!$C$6:$C$2005,"&lt;&gt;"))</f>
        <v/>
      </c>
      <c r="P131" s="11">
        <f>IF(A131="","",COUNTIFS('Claim Review'!$A$6:$A$2005,A131,'Claim Review'!$C$6:$C$2005,"&lt;&gt;",'Claim Review'!$F$6:$F$2005,"Supported"))</f>
        <v/>
      </c>
      <c r="Q131" s="11">
        <f>IF(A131="","",O131-COUNTIFS('Claim Review'!$A$6:$A$2005,A131,'Claim Review'!$C$6:$C$2005,"&lt;&gt;",'Claim Review'!$K$6:$K$2005,"Yes"))</f>
        <v/>
      </c>
      <c r="R131" s="12">
        <f>IF(AND(A131&lt;&gt;"",COUNTIF($A$6:$A$205,A131)=1,COUNTIF('Test Cases'!$A$6:$A$205,B131)=1,I131&lt;&gt;"",J131&lt;&gt;"",OR(K131="Answered",K131="Clarification",K131="Abstained"),X131="Yes",T131&lt;&gt;"",O131&gt;0,Q131=0),P131/MAX(1,O131),"")</f>
        <v/>
      </c>
      <c r="S131" s="11">
        <f>IF(A131="","",IF(AND(J131="",K131=""),"Pending",IF(COUNTIF($A$6:$A$205,A131)&lt;&gt;1,"Duplicate Run ID",IF(COUNTIF('Test Cases'!$A$6:$A$205,B131)&lt;&gt;1,"Check Test ID",IF(K131="Error","FAIL",IF(OR(I131="",J131=""),"Needs evidence / answer",IF(NOT(OR(K131="Answered",K131="Clarification",K131="Abstained")),"Choose outcome",IF(X131&lt;&gt;"Yes","Confirm claim inventory",IF(AND(K131="Answered",O131=0),"Needs claims",IF(Q131&gt;0,"Needs claim review",IF(OR(NOT(OR(L131="Yes",L131="No")),T131=""),"Needs response review",IF(OR(L131="No",M131&gt;0,N131&gt;0,AND(ISNUMBER(R131),R131&lt;Dashboard!$B$5)),"FAIL","PASS"))))))))))))</f>
        <v/>
      </c>
      <c r="V131" s="11">
        <f>IF(B131="","",IFERROR(VLOOKUP(B131,'Test Cases'!$A$6:$J$205,7,FALSE),"Unknown Test ID"))</f>
        <v/>
      </c>
      <c r="W131" s="11">
        <f>IF(B131="","",IFERROR(VLOOKUP(B131,'Test Cases'!$A$6:$J$205,8,FALSE),"Unknown Test ID"))</f>
        <v/>
      </c>
    </row>
    <row r="132" spans="3:23">
      <c r="C132" s="11">
        <f>IF(B132="","",IFERROR(VLOOKUP(B132,'Test Cases'!$A$6:$J$205,2,FALSE),"Unknown Test ID"))</f>
        <v/>
      </c>
      <c r="D132" s="11">
        <f>IF(B132="","",IFERROR(VLOOKUP(B132,'Test Cases'!$A$6:$J$205,5,FALSE),"Unknown Test ID"))</f>
        <v/>
      </c>
      <c r="M132" s="11">
        <f>IF(A132="","",COUNTIFS('Claim Review'!$A$6:$A$2005,A132,'Claim Review'!$C$6:$C$2005,"&lt;&gt;",'Claim Review'!$G$6:$G$2005,"Wrong citation")+COUNTIFS('Claim Review'!$A$6:$A$2005,A132,'Claim Review'!$C$6:$C$2005,"&lt;&gt;",'Claim Review'!$G$6:$G$2005,"Missing citation"))</f>
        <v/>
      </c>
      <c r="N132" s="11">
        <f>IF(A132="","",COUNTIFS('Claim Review'!$A$6:$A$2005,A132,'Claim Review'!$C$6:$C$2005,"&lt;&gt;",'Claim Review'!$H$6:$H$2005,"Yes"))</f>
        <v/>
      </c>
      <c r="O132" s="11">
        <f>IF(A132="","",COUNTIFS('Claim Review'!$A$6:$A$2005,A132,'Claim Review'!$C$6:$C$2005,"&lt;&gt;"))</f>
        <v/>
      </c>
      <c r="P132" s="11">
        <f>IF(A132="","",COUNTIFS('Claim Review'!$A$6:$A$2005,A132,'Claim Review'!$C$6:$C$2005,"&lt;&gt;",'Claim Review'!$F$6:$F$2005,"Supported"))</f>
        <v/>
      </c>
      <c r="Q132" s="11">
        <f>IF(A132="","",O132-COUNTIFS('Claim Review'!$A$6:$A$2005,A132,'Claim Review'!$C$6:$C$2005,"&lt;&gt;",'Claim Review'!$K$6:$K$2005,"Yes"))</f>
        <v/>
      </c>
      <c r="R132" s="12">
        <f>IF(AND(A132&lt;&gt;"",COUNTIF($A$6:$A$205,A132)=1,COUNTIF('Test Cases'!$A$6:$A$205,B132)=1,I132&lt;&gt;"",J132&lt;&gt;"",OR(K132="Answered",K132="Clarification",K132="Abstained"),X132="Yes",T132&lt;&gt;"",O132&gt;0,Q132=0),P132/MAX(1,O132),"")</f>
        <v/>
      </c>
      <c r="S132" s="11">
        <f>IF(A132="","",IF(AND(J132="",K132=""),"Pending",IF(COUNTIF($A$6:$A$205,A132)&lt;&gt;1,"Duplicate Run ID",IF(COUNTIF('Test Cases'!$A$6:$A$205,B132)&lt;&gt;1,"Check Test ID",IF(K132="Error","FAIL",IF(OR(I132="",J132=""),"Needs evidence / answer",IF(NOT(OR(K132="Answered",K132="Clarification",K132="Abstained")),"Choose outcome",IF(X132&lt;&gt;"Yes","Confirm claim inventory",IF(AND(K132="Answered",O132=0),"Needs claims",IF(Q132&gt;0,"Needs claim review",IF(OR(NOT(OR(L132="Yes",L132="No")),T132=""),"Needs response review",IF(OR(L132="No",M132&gt;0,N132&gt;0,AND(ISNUMBER(R132),R132&lt;Dashboard!$B$5)),"FAIL","PASS"))))))))))))</f>
        <v/>
      </c>
      <c r="V132" s="11">
        <f>IF(B132="","",IFERROR(VLOOKUP(B132,'Test Cases'!$A$6:$J$205,7,FALSE),"Unknown Test ID"))</f>
        <v/>
      </c>
      <c r="W132" s="11">
        <f>IF(B132="","",IFERROR(VLOOKUP(B132,'Test Cases'!$A$6:$J$205,8,FALSE),"Unknown Test ID"))</f>
        <v/>
      </c>
    </row>
    <row r="133" spans="3:23">
      <c r="C133" s="11">
        <f>IF(B133="","",IFERROR(VLOOKUP(B133,'Test Cases'!$A$6:$J$205,2,FALSE),"Unknown Test ID"))</f>
        <v/>
      </c>
      <c r="D133" s="11">
        <f>IF(B133="","",IFERROR(VLOOKUP(B133,'Test Cases'!$A$6:$J$205,5,FALSE),"Unknown Test ID"))</f>
        <v/>
      </c>
      <c r="M133" s="11">
        <f>IF(A133="","",COUNTIFS('Claim Review'!$A$6:$A$2005,A133,'Claim Review'!$C$6:$C$2005,"&lt;&gt;",'Claim Review'!$G$6:$G$2005,"Wrong citation")+COUNTIFS('Claim Review'!$A$6:$A$2005,A133,'Claim Review'!$C$6:$C$2005,"&lt;&gt;",'Claim Review'!$G$6:$G$2005,"Missing citation"))</f>
        <v/>
      </c>
      <c r="N133" s="11">
        <f>IF(A133="","",COUNTIFS('Claim Review'!$A$6:$A$2005,A133,'Claim Review'!$C$6:$C$2005,"&lt;&gt;",'Claim Review'!$H$6:$H$2005,"Yes"))</f>
        <v/>
      </c>
      <c r="O133" s="11">
        <f>IF(A133="","",COUNTIFS('Claim Review'!$A$6:$A$2005,A133,'Claim Review'!$C$6:$C$2005,"&lt;&gt;"))</f>
        <v/>
      </c>
      <c r="P133" s="11">
        <f>IF(A133="","",COUNTIFS('Claim Review'!$A$6:$A$2005,A133,'Claim Review'!$C$6:$C$2005,"&lt;&gt;",'Claim Review'!$F$6:$F$2005,"Supported"))</f>
        <v/>
      </c>
      <c r="Q133" s="11">
        <f>IF(A133="","",O133-COUNTIFS('Claim Review'!$A$6:$A$2005,A133,'Claim Review'!$C$6:$C$2005,"&lt;&gt;",'Claim Review'!$K$6:$K$2005,"Yes"))</f>
        <v/>
      </c>
      <c r="R133" s="12">
        <f>IF(AND(A133&lt;&gt;"",COUNTIF($A$6:$A$205,A133)=1,COUNTIF('Test Cases'!$A$6:$A$205,B133)=1,I133&lt;&gt;"",J133&lt;&gt;"",OR(K133="Answered",K133="Clarification",K133="Abstained"),X133="Yes",T133&lt;&gt;"",O133&gt;0,Q133=0),P133/MAX(1,O133),"")</f>
        <v/>
      </c>
      <c r="S133" s="11">
        <f>IF(A133="","",IF(AND(J133="",K133=""),"Pending",IF(COUNTIF($A$6:$A$205,A133)&lt;&gt;1,"Duplicate Run ID",IF(COUNTIF('Test Cases'!$A$6:$A$205,B133)&lt;&gt;1,"Check Test ID",IF(K133="Error","FAIL",IF(OR(I133="",J133=""),"Needs evidence / answer",IF(NOT(OR(K133="Answered",K133="Clarification",K133="Abstained")),"Choose outcome",IF(X133&lt;&gt;"Yes","Confirm claim inventory",IF(AND(K133="Answered",O133=0),"Needs claims",IF(Q133&gt;0,"Needs claim review",IF(OR(NOT(OR(L133="Yes",L133="No")),T133=""),"Needs response review",IF(OR(L133="No",M133&gt;0,N133&gt;0,AND(ISNUMBER(R133),R133&lt;Dashboard!$B$5)),"FAIL","PASS"))))))))))))</f>
        <v/>
      </c>
      <c r="V133" s="11">
        <f>IF(B133="","",IFERROR(VLOOKUP(B133,'Test Cases'!$A$6:$J$205,7,FALSE),"Unknown Test ID"))</f>
        <v/>
      </c>
      <c r="W133" s="11">
        <f>IF(B133="","",IFERROR(VLOOKUP(B133,'Test Cases'!$A$6:$J$205,8,FALSE),"Unknown Test ID"))</f>
        <v/>
      </c>
    </row>
    <row r="134" spans="3:23">
      <c r="C134" s="11">
        <f>IF(B134="","",IFERROR(VLOOKUP(B134,'Test Cases'!$A$6:$J$205,2,FALSE),"Unknown Test ID"))</f>
        <v/>
      </c>
      <c r="D134" s="11">
        <f>IF(B134="","",IFERROR(VLOOKUP(B134,'Test Cases'!$A$6:$J$205,5,FALSE),"Unknown Test ID"))</f>
        <v/>
      </c>
      <c r="M134" s="11">
        <f>IF(A134="","",COUNTIFS('Claim Review'!$A$6:$A$2005,A134,'Claim Review'!$C$6:$C$2005,"&lt;&gt;",'Claim Review'!$G$6:$G$2005,"Wrong citation")+COUNTIFS('Claim Review'!$A$6:$A$2005,A134,'Claim Review'!$C$6:$C$2005,"&lt;&gt;",'Claim Review'!$G$6:$G$2005,"Missing citation"))</f>
        <v/>
      </c>
      <c r="N134" s="11">
        <f>IF(A134="","",COUNTIFS('Claim Review'!$A$6:$A$2005,A134,'Claim Review'!$C$6:$C$2005,"&lt;&gt;",'Claim Review'!$H$6:$H$2005,"Yes"))</f>
        <v/>
      </c>
      <c r="O134" s="11">
        <f>IF(A134="","",COUNTIFS('Claim Review'!$A$6:$A$2005,A134,'Claim Review'!$C$6:$C$2005,"&lt;&gt;"))</f>
        <v/>
      </c>
      <c r="P134" s="11">
        <f>IF(A134="","",COUNTIFS('Claim Review'!$A$6:$A$2005,A134,'Claim Review'!$C$6:$C$2005,"&lt;&gt;",'Claim Review'!$F$6:$F$2005,"Supported"))</f>
        <v/>
      </c>
      <c r="Q134" s="11">
        <f>IF(A134="","",O134-COUNTIFS('Claim Review'!$A$6:$A$2005,A134,'Claim Review'!$C$6:$C$2005,"&lt;&gt;",'Claim Review'!$K$6:$K$2005,"Yes"))</f>
        <v/>
      </c>
      <c r="R134" s="12">
        <f>IF(AND(A134&lt;&gt;"",COUNTIF($A$6:$A$205,A134)=1,COUNTIF('Test Cases'!$A$6:$A$205,B134)=1,I134&lt;&gt;"",J134&lt;&gt;"",OR(K134="Answered",K134="Clarification",K134="Abstained"),X134="Yes",T134&lt;&gt;"",O134&gt;0,Q134=0),P134/MAX(1,O134),"")</f>
        <v/>
      </c>
      <c r="S134" s="11">
        <f>IF(A134="","",IF(AND(J134="",K134=""),"Pending",IF(COUNTIF($A$6:$A$205,A134)&lt;&gt;1,"Duplicate Run ID",IF(COUNTIF('Test Cases'!$A$6:$A$205,B134)&lt;&gt;1,"Check Test ID",IF(K134="Error","FAIL",IF(OR(I134="",J134=""),"Needs evidence / answer",IF(NOT(OR(K134="Answered",K134="Clarification",K134="Abstained")),"Choose outcome",IF(X134&lt;&gt;"Yes","Confirm claim inventory",IF(AND(K134="Answered",O134=0),"Needs claims",IF(Q134&gt;0,"Needs claim review",IF(OR(NOT(OR(L134="Yes",L134="No")),T134=""),"Needs response review",IF(OR(L134="No",M134&gt;0,N134&gt;0,AND(ISNUMBER(R134),R134&lt;Dashboard!$B$5)),"FAIL","PASS"))))))))))))</f>
        <v/>
      </c>
      <c r="V134" s="11">
        <f>IF(B134="","",IFERROR(VLOOKUP(B134,'Test Cases'!$A$6:$J$205,7,FALSE),"Unknown Test ID"))</f>
        <v/>
      </c>
      <c r="W134" s="11">
        <f>IF(B134="","",IFERROR(VLOOKUP(B134,'Test Cases'!$A$6:$J$205,8,FALSE),"Unknown Test ID"))</f>
        <v/>
      </c>
    </row>
    <row r="135" spans="3:23">
      <c r="C135" s="11">
        <f>IF(B135="","",IFERROR(VLOOKUP(B135,'Test Cases'!$A$6:$J$205,2,FALSE),"Unknown Test ID"))</f>
        <v/>
      </c>
      <c r="D135" s="11">
        <f>IF(B135="","",IFERROR(VLOOKUP(B135,'Test Cases'!$A$6:$J$205,5,FALSE),"Unknown Test ID"))</f>
        <v/>
      </c>
      <c r="M135" s="11">
        <f>IF(A135="","",COUNTIFS('Claim Review'!$A$6:$A$2005,A135,'Claim Review'!$C$6:$C$2005,"&lt;&gt;",'Claim Review'!$G$6:$G$2005,"Wrong citation")+COUNTIFS('Claim Review'!$A$6:$A$2005,A135,'Claim Review'!$C$6:$C$2005,"&lt;&gt;",'Claim Review'!$G$6:$G$2005,"Missing citation"))</f>
        <v/>
      </c>
      <c r="N135" s="11">
        <f>IF(A135="","",COUNTIFS('Claim Review'!$A$6:$A$2005,A135,'Claim Review'!$C$6:$C$2005,"&lt;&gt;",'Claim Review'!$H$6:$H$2005,"Yes"))</f>
        <v/>
      </c>
      <c r="O135" s="11">
        <f>IF(A135="","",COUNTIFS('Claim Review'!$A$6:$A$2005,A135,'Claim Review'!$C$6:$C$2005,"&lt;&gt;"))</f>
        <v/>
      </c>
      <c r="P135" s="11">
        <f>IF(A135="","",COUNTIFS('Claim Review'!$A$6:$A$2005,A135,'Claim Review'!$C$6:$C$2005,"&lt;&gt;",'Claim Review'!$F$6:$F$2005,"Supported"))</f>
        <v/>
      </c>
      <c r="Q135" s="11">
        <f>IF(A135="","",O135-COUNTIFS('Claim Review'!$A$6:$A$2005,A135,'Claim Review'!$C$6:$C$2005,"&lt;&gt;",'Claim Review'!$K$6:$K$2005,"Yes"))</f>
        <v/>
      </c>
      <c r="R135" s="12">
        <f>IF(AND(A135&lt;&gt;"",COUNTIF($A$6:$A$205,A135)=1,COUNTIF('Test Cases'!$A$6:$A$205,B135)=1,I135&lt;&gt;"",J135&lt;&gt;"",OR(K135="Answered",K135="Clarification",K135="Abstained"),X135="Yes",T135&lt;&gt;"",O135&gt;0,Q135=0),P135/MAX(1,O135),"")</f>
        <v/>
      </c>
      <c r="S135" s="11">
        <f>IF(A135="","",IF(AND(J135="",K135=""),"Pending",IF(COUNTIF($A$6:$A$205,A135)&lt;&gt;1,"Duplicate Run ID",IF(COUNTIF('Test Cases'!$A$6:$A$205,B135)&lt;&gt;1,"Check Test ID",IF(K135="Error","FAIL",IF(OR(I135="",J135=""),"Needs evidence / answer",IF(NOT(OR(K135="Answered",K135="Clarification",K135="Abstained")),"Choose outcome",IF(X135&lt;&gt;"Yes","Confirm claim inventory",IF(AND(K135="Answered",O135=0),"Needs claims",IF(Q135&gt;0,"Needs claim review",IF(OR(NOT(OR(L135="Yes",L135="No")),T135=""),"Needs response review",IF(OR(L135="No",M135&gt;0,N135&gt;0,AND(ISNUMBER(R135),R135&lt;Dashboard!$B$5)),"FAIL","PASS"))))))))))))</f>
        <v/>
      </c>
      <c r="V135" s="11">
        <f>IF(B135="","",IFERROR(VLOOKUP(B135,'Test Cases'!$A$6:$J$205,7,FALSE),"Unknown Test ID"))</f>
        <v/>
      </c>
      <c r="W135" s="11">
        <f>IF(B135="","",IFERROR(VLOOKUP(B135,'Test Cases'!$A$6:$J$205,8,FALSE),"Unknown Test ID"))</f>
        <v/>
      </c>
    </row>
    <row r="136" spans="3:23">
      <c r="C136" s="11">
        <f>IF(B136="","",IFERROR(VLOOKUP(B136,'Test Cases'!$A$6:$J$205,2,FALSE),"Unknown Test ID"))</f>
        <v/>
      </c>
      <c r="D136" s="11">
        <f>IF(B136="","",IFERROR(VLOOKUP(B136,'Test Cases'!$A$6:$J$205,5,FALSE),"Unknown Test ID"))</f>
        <v/>
      </c>
      <c r="M136" s="11">
        <f>IF(A136="","",COUNTIFS('Claim Review'!$A$6:$A$2005,A136,'Claim Review'!$C$6:$C$2005,"&lt;&gt;",'Claim Review'!$G$6:$G$2005,"Wrong citation")+COUNTIFS('Claim Review'!$A$6:$A$2005,A136,'Claim Review'!$C$6:$C$2005,"&lt;&gt;",'Claim Review'!$G$6:$G$2005,"Missing citation"))</f>
        <v/>
      </c>
      <c r="N136" s="11">
        <f>IF(A136="","",COUNTIFS('Claim Review'!$A$6:$A$2005,A136,'Claim Review'!$C$6:$C$2005,"&lt;&gt;",'Claim Review'!$H$6:$H$2005,"Yes"))</f>
        <v/>
      </c>
      <c r="O136" s="11">
        <f>IF(A136="","",COUNTIFS('Claim Review'!$A$6:$A$2005,A136,'Claim Review'!$C$6:$C$2005,"&lt;&gt;"))</f>
        <v/>
      </c>
      <c r="P136" s="11">
        <f>IF(A136="","",COUNTIFS('Claim Review'!$A$6:$A$2005,A136,'Claim Review'!$C$6:$C$2005,"&lt;&gt;",'Claim Review'!$F$6:$F$2005,"Supported"))</f>
        <v/>
      </c>
      <c r="Q136" s="11">
        <f>IF(A136="","",O136-COUNTIFS('Claim Review'!$A$6:$A$2005,A136,'Claim Review'!$C$6:$C$2005,"&lt;&gt;",'Claim Review'!$K$6:$K$2005,"Yes"))</f>
        <v/>
      </c>
      <c r="R136" s="12">
        <f>IF(AND(A136&lt;&gt;"",COUNTIF($A$6:$A$205,A136)=1,COUNTIF('Test Cases'!$A$6:$A$205,B136)=1,I136&lt;&gt;"",J136&lt;&gt;"",OR(K136="Answered",K136="Clarification",K136="Abstained"),X136="Yes",T136&lt;&gt;"",O136&gt;0,Q136=0),P136/MAX(1,O136),"")</f>
        <v/>
      </c>
      <c r="S136" s="11">
        <f>IF(A136="","",IF(AND(J136="",K136=""),"Pending",IF(COUNTIF($A$6:$A$205,A136)&lt;&gt;1,"Duplicate Run ID",IF(COUNTIF('Test Cases'!$A$6:$A$205,B136)&lt;&gt;1,"Check Test ID",IF(K136="Error","FAIL",IF(OR(I136="",J136=""),"Needs evidence / answer",IF(NOT(OR(K136="Answered",K136="Clarification",K136="Abstained")),"Choose outcome",IF(X136&lt;&gt;"Yes","Confirm claim inventory",IF(AND(K136="Answered",O136=0),"Needs claims",IF(Q136&gt;0,"Needs claim review",IF(OR(NOT(OR(L136="Yes",L136="No")),T136=""),"Needs response review",IF(OR(L136="No",M136&gt;0,N136&gt;0,AND(ISNUMBER(R136),R136&lt;Dashboard!$B$5)),"FAIL","PASS"))))))))))))</f>
        <v/>
      </c>
      <c r="V136" s="11">
        <f>IF(B136="","",IFERROR(VLOOKUP(B136,'Test Cases'!$A$6:$J$205,7,FALSE),"Unknown Test ID"))</f>
        <v/>
      </c>
      <c r="W136" s="11">
        <f>IF(B136="","",IFERROR(VLOOKUP(B136,'Test Cases'!$A$6:$J$205,8,FALSE),"Unknown Test ID"))</f>
        <v/>
      </c>
    </row>
    <row r="137" spans="3:23">
      <c r="C137" s="11">
        <f>IF(B137="","",IFERROR(VLOOKUP(B137,'Test Cases'!$A$6:$J$205,2,FALSE),"Unknown Test ID"))</f>
        <v/>
      </c>
      <c r="D137" s="11">
        <f>IF(B137="","",IFERROR(VLOOKUP(B137,'Test Cases'!$A$6:$J$205,5,FALSE),"Unknown Test ID"))</f>
        <v/>
      </c>
      <c r="M137" s="11">
        <f>IF(A137="","",COUNTIFS('Claim Review'!$A$6:$A$2005,A137,'Claim Review'!$C$6:$C$2005,"&lt;&gt;",'Claim Review'!$G$6:$G$2005,"Wrong citation")+COUNTIFS('Claim Review'!$A$6:$A$2005,A137,'Claim Review'!$C$6:$C$2005,"&lt;&gt;",'Claim Review'!$G$6:$G$2005,"Missing citation"))</f>
        <v/>
      </c>
      <c r="N137" s="11">
        <f>IF(A137="","",COUNTIFS('Claim Review'!$A$6:$A$2005,A137,'Claim Review'!$C$6:$C$2005,"&lt;&gt;",'Claim Review'!$H$6:$H$2005,"Yes"))</f>
        <v/>
      </c>
      <c r="O137" s="11">
        <f>IF(A137="","",COUNTIFS('Claim Review'!$A$6:$A$2005,A137,'Claim Review'!$C$6:$C$2005,"&lt;&gt;"))</f>
        <v/>
      </c>
      <c r="P137" s="11">
        <f>IF(A137="","",COUNTIFS('Claim Review'!$A$6:$A$2005,A137,'Claim Review'!$C$6:$C$2005,"&lt;&gt;",'Claim Review'!$F$6:$F$2005,"Supported"))</f>
        <v/>
      </c>
      <c r="Q137" s="11">
        <f>IF(A137="","",O137-COUNTIFS('Claim Review'!$A$6:$A$2005,A137,'Claim Review'!$C$6:$C$2005,"&lt;&gt;",'Claim Review'!$K$6:$K$2005,"Yes"))</f>
        <v/>
      </c>
      <c r="R137" s="12">
        <f>IF(AND(A137&lt;&gt;"",COUNTIF($A$6:$A$205,A137)=1,COUNTIF('Test Cases'!$A$6:$A$205,B137)=1,I137&lt;&gt;"",J137&lt;&gt;"",OR(K137="Answered",K137="Clarification",K137="Abstained"),X137="Yes",T137&lt;&gt;"",O137&gt;0,Q137=0),P137/MAX(1,O137),"")</f>
        <v/>
      </c>
      <c r="S137" s="11">
        <f>IF(A137="","",IF(AND(J137="",K137=""),"Pending",IF(COUNTIF($A$6:$A$205,A137)&lt;&gt;1,"Duplicate Run ID",IF(COUNTIF('Test Cases'!$A$6:$A$205,B137)&lt;&gt;1,"Check Test ID",IF(K137="Error","FAIL",IF(OR(I137="",J137=""),"Needs evidence / answer",IF(NOT(OR(K137="Answered",K137="Clarification",K137="Abstained")),"Choose outcome",IF(X137&lt;&gt;"Yes","Confirm claim inventory",IF(AND(K137="Answered",O137=0),"Needs claims",IF(Q137&gt;0,"Needs claim review",IF(OR(NOT(OR(L137="Yes",L137="No")),T137=""),"Needs response review",IF(OR(L137="No",M137&gt;0,N137&gt;0,AND(ISNUMBER(R137),R137&lt;Dashboard!$B$5)),"FAIL","PASS"))))))))))))</f>
        <v/>
      </c>
      <c r="V137" s="11">
        <f>IF(B137="","",IFERROR(VLOOKUP(B137,'Test Cases'!$A$6:$J$205,7,FALSE),"Unknown Test ID"))</f>
        <v/>
      </c>
      <c r="W137" s="11">
        <f>IF(B137="","",IFERROR(VLOOKUP(B137,'Test Cases'!$A$6:$J$205,8,FALSE),"Unknown Test ID"))</f>
        <v/>
      </c>
    </row>
    <row r="138" spans="3:23">
      <c r="C138" s="11">
        <f>IF(B138="","",IFERROR(VLOOKUP(B138,'Test Cases'!$A$6:$J$205,2,FALSE),"Unknown Test ID"))</f>
        <v/>
      </c>
      <c r="D138" s="11">
        <f>IF(B138="","",IFERROR(VLOOKUP(B138,'Test Cases'!$A$6:$J$205,5,FALSE),"Unknown Test ID"))</f>
        <v/>
      </c>
      <c r="M138" s="11">
        <f>IF(A138="","",COUNTIFS('Claim Review'!$A$6:$A$2005,A138,'Claim Review'!$C$6:$C$2005,"&lt;&gt;",'Claim Review'!$G$6:$G$2005,"Wrong citation")+COUNTIFS('Claim Review'!$A$6:$A$2005,A138,'Claim Review'!$C$6:$C$2005,"&lt;&gt;",'Claim Review'!$G$6:$G$2005,"Missing citation"))</f>
        <v/>
      </c>
      <c r="N138" s="11">
        <f>IF(A138="","",COUNTIFS('Claim Review'!$A$6:$A$2005,A138,'Claim Review'!$C$6:$C$2005,"&lt;&gt;",'Claim Review'!$H$6:$H$2005,"Yes"))</f>
        <v/>
      </c>
      <c r="O138" s="11">
        <f>IF(A138="","",COUNTIFS('Claim Review'!$A$6:$A$2005,A138,'Claim Review'!$C$6:$C$2005,"&lt;&gt;"))</f>
        <v/>
      </c>
      <c r="P138" s="11">
        <f>IF(A138="","",COUNTIFS('Claim Review'!$A$6:$A$2005,A138,'Claim Review'!$C$6:$C$2005,"&lt;&gt;",'Claim Review'!$F$6:$F$2005,"Supported"))</f>
        <v/>
      </c>
      <c r="Q138" s="11">
        <f>IF(A138="","",O138-COUNTIFS('Claim Review'!$A$6:$A$2005,A138,'Claim Review'!$C$6:$C$2005,"&lt;&gt;",'Claim Review'!$K$6:$K$2005,"Yes"))</f>
        <v/>
      </c>
      <c r="R138" s="12">
        <f>IF(AND(A138&lt;&gt;"",COUNTIF($A$6:$A$205,A138)=1,COUNTIF('Test Cases'!$A$6:$A$205,B138)=1,I138&lt;&gt;"",J138&lt;&gt;"",OR(K138="Answered",K138="Clarification",K138="Abstained"),X138="Yes",T138&lt;&gt;"",O138&gt;0,Q138=0),P138/MAX(1,O138),"")</f>
        <v/>
      </c>
      <c r="S138" s="11">
        <f>IF(A138="","",IF(AND(J138="",K138=""),"Pending",IF(COUNTIF($A$6:$A$205,A138)&lt;&gt;1,"Duplicate Run ID",IF(COUNTIF('Test Cases'!$A$6:$A$205,B138)&lt;&gt;1,"Check Test ID",IF(K138="Error","FAIL",IF(OR(I138="",J138=""),"Needs evidence / answer",IF(NOT(OR(K138="Answered",K138="Clarification",K138="Abstained")),"Choose outcome",IF(X138&lt;&gt;"Yes","Confirm claim inventory",IF(AND(K138="Answered",O138=0),"Needs claims",IF(Q138&gt;0,"Needs claim review",IF(OR(NOT(OR(L138="Yes",L138="No")),T138=""),"Needs response review",IF(OR(L138="No",M138&gt;0,N138&gt;0,AND(ISNUMBER(R138),R138&lt;Dashboard!$B$5)),"FAIL","PASS"))))))))))))</f>
        <v/>
      </c>
      <c r="V138" s="11">
        <f>IF(B138="","",IFERROR(VLOOKUP(B138,'Test Cases'!$A$6:$J$205,7,FALSE),"Unknown Test ID"))</f>
        <v/>
      </c>
      <c r="W138" s="11">
        <f>IF(B138="","",IFERROR(VLOOKUP(B138,'Test Cases'!$A$6:$J$205,8,FALSE),"Unknown Test ID"))</f>
        <v/>
      </c>
    </row>
    <row r="139" spans="3:23">
      <c r="C139" s="11">
        <f>IF(B139="","",IFERROR(VLOOKUP(B139,'Test Cases'!$A$6:$J$205,2,FALSE),"Unknown Test ID"))</f>
        <v/>
      </c>
      <c r="D139" s="11">
        <f>IF(B139="","",IFERROR(VLOOKUP(B139,'Test Cases'!$A$6:$J$205,5,FALSE),"Unknown Test ID"))</f>
        <v/>
      </c>
      <c r="M139" s="11">
        <f>IF(A139="","",COUNTIFS('Claim Review'!$A$6:$A$2005,A139,'Claim Review'!$C$6:$C$2005,"&lt;&gt;",'Claim Review'!$G$6:$G$2005,"Wrong citation")+COUNTIFS('Claim Review'!$A$6:$A$2005,A139,'Claim Review'!$C$6:$C$2005,"&lt;&gt;",'Claim Review'!$G$6:$G$2005,"Missing citation"))</f>
        <v/>
      </c>
      <c r="N139" s="11">
        <f>IF(A139="","",COUNTIFS('Claim Review'!$A$6:$A$2005,A139,'Claim Review'!$C$6:$C$2005,"&lt;&gt;",'Claim Review'!$H$6:$H$2005,"Yes"))</f>
        <v/>
      </c>
      <c r="O139" s="11">
        <f>IF(A139="","",COUNTIFS('Claim Review'!$A$6:$A$2005,A139,'Claim Review'!$C$6:$C$2005,"&lt;&gt;"))</f>
        <v/>
      </c>
      <c r="P139" s="11">
        <f>IF(A139="","",COUNTIFS('Claim Review'!$A$6:$A$2005,A139,'Claim Review'!$C$6:$C$2005,"&lt;&gt;",'Claim Review'!$F$6:$F$2005,"Supported"))</f>
        <v/>
      </c>
      <c r="Q139" s="11">
        <f>IF(A139="","",O139-COUNTIFS('Claim Review'!$A$6:$A$2005,A139,'Claim Review'!$C$6:$C$2005,"&lt;&gt;",'Claim Review'!$K$6:$K$2005,"Yes"))</f>
        <v/>
      </c>
      <c r="R139" s="12">
        <f>IF(AND(A139&lt;&gt;"",COUNTIF($A$6:$A$205,A139)=1,COUNTIF('Test Cases'!$A$6:$A$205,B139)=1,I139&lt;&gt;"",J139&lt;&gt;"",OR(K139="Answered",K139="Clarification",K139="Abstained"),X139="Yes",T139&lt;&gt;"",O139&gt;0,Q139=0),P139/MAX(1,O139),"")</f>
        <v/>
      </c>
      <c r="S139" s="11">
        <f>IF(A139="","",IF(AND(J139="",K139=""),"Pending",IF(COUNTIF($A$6:$A$205,A139)&lt;&gt;1,"Duplicate Run ID",IF(COUNTIF('Test Cases'!$A$6:$A$205,B139)&lt;&gt;1,"Check Test ID",IF(K139="Error","FAIL",IF(OR(I139="",J139=""),"Needs evidence / answer",IF(NOT(OR(K139="Answered",K139="Clarification",K139="Abstained")),"Choose outcome",IF(X139&lt;&gt;"Yes","Confirm claim inventory",IF(AND(K139="Answered",O139=0),"Needs claims",IF(Q139&gt;0,"Needs claim review",IF(OR(NOT(OR(L139="Yes",L139="No")),T139=""),"Needs response review",IF(OR(L139="No",M139&gt;0,N139&gt;0,AND(ISNUMBER(R139),R139&lt;Dashboard!$B$5)),"FAIL","PASS"))))))))))))</f>
        <v/>
      </c>
      <c r="V139" s="11">
        <f>IF(B139="","",IFERROR(VLOOKUP(B139,'Test Cases'!$A$6:$J$205,7,FALSE),"Unknown Test ID"))</f>
        <v/>
      </c>
      <c r="W139" s="11">
        <f>IF(B139="","",IFERROR(VLOOKUP(B139,'Test Cases'!$A$6:$J$205,8,FALSE),"Unknown Test ID"))</f>
        <v/>
      </c>
    </row>
    <row r="140" spans="3:23">
      <c r="C140" s="11">
        <f>IF(B140="","",IFERROR(VLOOKUP(B140,'Test Cases'!$A$6:$J$205,2,FALSE),"Unknown Test ID"))</f>
        <v/>
      </c>
      <c r="D140" s="11">
        <f>IF(B140="","",IFERROR(VLOOKUP(B140,'Test Cases'!$A$6:$J$205,5,FALSE),"Unknown Test ID"))</f>
        <v/>
      </c>
      <c r="M140" s="11">
        <f>IF(A140="","",COUNTIFS('Claim Review'!$A$6:$A$2005,A140,'Claim Review'!$C$6:$C$2005,"&lt;&gt;",'Claim Review'!$G$6:$G$2005,"Wrong citation")+COUNTIFS('Claim Review'!$A$6:$A$2005,A140,'Claim Review'!$C$6:$C$2005,"&lt;&gt;",'Claim Review'!$G$6:$G$2005,"Missing citation"))</f>
        <v/>
      </c>
      <c r="N140" s="11">
        <f>IF(A140="","",COUNTIFS('Claim Review'!$A$6:$A$2005,A140,'Claim Review'!$C$6:$C$2005,"&lt;&gt;",'Claim Review'!$H$6:$H$2005,"Yes"))</f>
        <v/>
      </c>
      <c r="O140" s="11">
        <f>IF(A140="","",COUNTIFS('Claim Review'!$A$6:$A$2005,A140,'Claim Review'!$C$6:$C$2005,"&lt;&gt;"))</f>
        <v/>
      </c>
      <c r="P140" s="11">
        <f>IF(A140="","",COUNTIFS('Claim Review'!$A$6:$A$2005,A140,'Claim Review'!$C$6:$C$2005,"&lt;&gt;",'Claim Review'!$F$6:$F$2005,"Supported"))</f>
        <v/>
      </c>
      <c r="Q140" s="11">
        <f>IF(A140="","",O140-COUNTIFS('Claim Review'!$A$6:$A$2005,A140,'Claim Review'!$C$6:$C$2005,"&lt;&gt;",'Claim Review'!$K$6:$K$2005,"Yes"))</f>
        <v/>
      </c>
      <c r="R140" s="12">
        <f>IF(AND(A140&lt;&gt;"",COUNTIF($A$6:$A$205,A140)=1,COUNTIF('Test Cases'!$A$6:$A$205,B140)=1,I140&lt;&gt;"",J140&lt;&gt;"",OR(K140="Answered",K140="Clarification",K140="Abstained"),X140="Yes",T140&lt;&gt;"",O140&gt;0,Q140=0),P140/MAX(1,O140),"")</f>
        <v/>
      </c>
      <c r="S140" s="11">
        <f>IF(A140="","",IF(AND(J140="",K140=""),"Pending",IF(COUNTIF($A$6:$A$205,A140)&lt;&gt;1,"Duplicate Run ID",IF(COUNTIF('Test Cases'!$A$6:$A$205,B140)&lt;&gt;1,"Check Test ID",IF(K140="Error","FAIL",IF(OR(I140="",J140=""),"Needs evidence / answer",IF(NOT(OR(K140="Answered",K140="Clarification",K140="Abstained")),"Choose outcome",IF(X140&lt;&gt;"Yes","Confirm claim inventory",IF(AND(K140="Answered",O140=0),"Needs claims",IF(Q140&gt;0,"Needs claim review",IF(OR(NOT(OR(L140="Yes",L140="No")),T140=""),"Needs response review",IF(OR(L140="No",M140&gt;0,N140&gt;0,AND(ISNUMBER(R140),R140&lt;Dashboard!$B$5)),"FAIL","PASS"))))))))))))</f>
        <v/>
      </c>
      <c r="V140" s="11">
        <f>IF(B140="","",IFERROR(VLOOKUP(B140,'Test Cases'!$A$6:$J$205,7,FALSE),"Unknown Test ID"))</f>
        <v/>
      </c>
      <c r="W140" s="11">
        <f>IF(B140="","",IFERROR(VLOOKUP(B140,'Test Cases'!$A$6:$J$205,8,FALSE),"Unknown Test ID"))</f>
        <v/>
      </c>
    </row>
    <row r="141" spans="3:23">
      <c r="C141" s="11">
        <f>IF(B141="","",IFERROR(VLOOKUP(B141,'Test Cases'!$A$6:$J$205,2,FALSE),"Unknown Test ID"))</f>
        <v/>
      </c>
      <c r="D141" s="11">
        <f>IF(B141="","",IFERROR(VLOOKUP(B141,'Test Cases'!$A$6:$J$205,5,FALSE),"Unknown Test ID"))</f>
        <v/>
      </c>
      <c r="M141" s="11">
        <f>IF(A141="","",COUNTIFS('Claim Review'!$A$6:$A$2005,A141,'Claim Review'!$C$6:$C$2005,"&lt;&gt;",'Claim Review'!$G$6:$G$2005,"Wrong citation")+COUNTIFS('Claim Review'!$A$6:$A$2005,A141,'Claim Review'!$C$6:$C$2005,"&lt;&gt;",'Claim Review'!$G$6:$G$2005,"Missing citation"))</f>
        <v/>
      </c>
      <c r="N141" s="11">
        <f>IF(A141="","",COUNTIFS('Claim Review'!$A$6:$A$2005,A141,'Claim Review'!$C$6:$C$2005,"&lt;&gt;",'Claim Review'!$H$6:$H$2005,"Yes"))</f>
        <v/>
      </c>
      <c r="O141" s="11">
        <f>IF(A141="","",COUNTIFS('Claim Review'!$A$6:$A$2005,A141,'Claim Review'!$C$6:$C$2005,"&lt;&gt;"))</f>
        <v/>
      </c>
      <c r="P141" s="11">
        <f>IF(A141="","",COUNTIFS('Claim Review'!$A$6:$A$2005,A141,'Claim Review'!$C$6:$C$2005,"&lt;&gt;",'Claim Review'!$F$6:$F$2005,"Supported"))</f>
        <v/>
      </c>
      <c r="Q141" s="11">
        <f>IF(A141="","",O141-COUNTIFS('Claim Review'!$A$6:$A$2005,A141,'Claim Review'!$C$6:$C$2005,"&lt;&gt;",'Claim Review'!$K$6:$K$2005,"Yes"))</f>
        <v/>
      </c>
      <c r="R141" s="12">
        <f>IF(AND(A141&lt;&gt;"",COUNTIF($A$6:$A$205,A141)=1,COUNTIF('Test Cases'!$A$6:$A$205,B141)=1,I141&lt;&gt;"",J141&lt;&gt;"",OR(K141="Answered",K141="Clarification",K141="Abstained"),X141="Yes",T141&lt;&gt;"",O141&gt;0,Q141=0),P141/MAX(1,O141),"")</f>
        <v/>
      </c>
      <c r="S141" s="11">
        <f>IF(A141="","",IF(AND(J141="",K141=""),"Pending",IF(COUNTIF($A$6:$A$205,A141)&lt;&gt;1,"Duplicate Run ID",IF(COUNTIF('Test Cases'!$A$6:$A$205,B141)&lt;&gt;1,"Check Test ID",IF(K141="Error","FAIL",IF(OR(I141="",J141=""),"Needs evidence / answer",IF(NOT(OR(K141="Answered",K141="Clarification",K141="Abstained")),"Choose outcome",IF(X141&lt;&gt;"Yes","Confirm claim inventory",IF(AND(K141="Answered",O141=0),"Needs claims",IF(Q141&gt;0,"Needs claim review",IF(OR(NOT(OR(L141="Yes",L141="No")),T141=""),"Needs response review",IF(OR(L141="No",M141&gt;0,N141&gt;0,AND(ISNUMBER(R141),R141&lt;Dashboard!$B$5)),"FAIL","PASS"))))))))))))</f>
        <v/>
      </c>
      <c r="V141" s="11">
        <f>IF(B141="","",IFERROR(VLOOKUP(B141,'Test Cases'!$A$6:$J$205,7,FALSE),"Unknown Test ID"))</f>
        <v/>
      </c>
      <c r="W141" s="11">
        <f>IF(B141="","",IFERROR(VLOOKUP(B141,'Test Cases'!$A$6:$J$205,8,FALSE),"Unknown Test ID"))</f>
        <v/>
      </c>
    </row>
    <row r="142" spans="3:23">
      <c r="C142" s="11">
        <f>IF(B142="","",IFERROR(VLOOKUP(B142,'Test Cases'!$A$6:$J$205,2,FALSE),"Unknown Test ID"))</f>
        <v/>
      </c>
      <c r="D142" s="11">
        <f>IF(B142="","",IFERROR(VLOOKUP(B142,'Test Cases'!$A$6:$J$205,5,FALSE),"Unknown Test ID"))</f>
        <v/>
      </c>
      <c r="M142" s="11">
        <f>IF(A142="","",COUNTIFS('Claim Review'!$A$6:$A$2005,A142,'Claim Review'!$C$6:$C$2005,"&lt;&gt;",'Claim Review'!$G$6:$G$2005,"Wrong citation")+COUNTIFS('Claim Review'!$A$6:$A$2005,A142,'Claim Review'!$C$6:$C$2005,"&lt;&gt;",'Claim Review'!$G$6:$G$2005,"Missing citation"))</f>
        <v/>
      </c>
      <c r="N142" s="11">
        <f>IF(A142="","",COUNTIFS('Claim Review'!$A$6:$A$2005,A142,'Claim Review'!$C$6:$C$2005,"&lt;&gt;",'Claim Review'!$H$6:$H$2005,"Yes"))</f>
        <v/>
      </c>
      <c r="O142" s="11">
        <f>IF(A142="","",COUNTIFS('Claim Review'!$A$6:$A$2005,A142,'Claim Review'!$C$6:$C$2005,"&lt;&gt;"))</f>
        <v/>
      </c>
      <c r="P142" s="11">
        <f>IF(A142="","",COUNTIFS('Claim Review'!$A$6:$A$2005,A142,'Claim Review'!$C$6:$C$2005,"&lt;&gt;",'Claim Review'!$F$6:$F$2005,"Supported"))</f>
        <v/>
      </c>
      <c r="Q142" s="11">
        <f>IF(A142="","",O142-COUNTIFS('Claim Review'!$A$6:$A$2005,A142,'Claim Review'!$C$6:$C$2005,"&lt;&gt;",'Claim Review'!$K$6:$K$2005,"Yes"))</f>
        <v/>
      </c>
      <c r="R142" s="12">
        <f>IF(AND(A142&lt;&gt;"",COUNTIF($A$6:$A$205,A142)=1,COUNTIF('Test Cases'!$A$6:$A$205,B142)=1,I142&lt;&gt;"",J142&lt;&gt;"",OR(K142="Answered",K142="Clarification",K142="Abstained"),X142="Yes",T142&lt;&gt;"",O142&gt;0,Q142=0),P142/MAX(1,O142),"")</f>
        <v/>
      </c>
      <c r="S142" s="11">
        <f>IF(A142="","",IF(AND(J142="",K142=""),"Pending",IF(COUNTIF($A$6:$A$205,A142)&lt;&gt;1,"Duplicate Run ID",IF(COUNTIF('Test Cases'!$A$6:$A$205,B142)&lt;&gt;1,"Check Test ID",IF(K142="Error","FAIL",IF(OR(I142="",J142=""),"Needs evidence / answer",IF(NOT(OR(K142="Answered",K142="Clarification",K142="Abstained")),"Choose outcome",IF(X142&lt;&gt;"Yes","Confirm claim inventory",IF(AND(K142="Answered",O142=0),"Needs claims",IF(Q142&gt;0,"Needs claim review",IF(OR(NOT(OR(L142="Yes",L142="No")),T142=""),"Needs response review",IF(OR(L142="No",M142&gt;0,N142&gt;0,AND(ISNUMBER(R142),R142&lt;Dashboard!$B$5)),"FAIL","PASS"))))))))))))</f>
        <v/>
      </c>
      <c r="V142" s="11">
        <f>IF(B142="","",IFERROR(VLOOKUP(B142,'Test Cases'!$A$6:$J$205,7,FALSE),"Unknown Test ID"))</f>
        <v/>
      </c>
      <c r="W142" s="11">
        <f>IF(B142="","",IFERROR(VLOOKUP(B142,'Test Cases'!$A$6:$J$205,8,FALSE),"Unknown Test ID"))</f>
        <v/>
      </c>
    </row>
    <row r="143" spans="3:23">
      <c r="C143" s="11">
        <f>IF(B143="","",IFERROR(VLOOKUP(B143,'Test Cases'!$A$6:$J$205,2,FALSE),"Unknown Test ID"))</f>
        <v/>
      </c>
      <c r="D143" s="11">
        <f>IF(B143="","",IFERROR(VLOOKUP(B143,'Test Cases'!$A$6:$J$205,5,FALSE),"Unknown Test ID"))</f>
        <v/>
      </c>
      <c r="M143" s="11">
        <f>IF(A143="","",COUNTIFS('Claim Review'!$A$6:$A$2005,A143,'Claim Review'!$C$6:$C$2005,"&lt;&gt;",'Claim Review'!$G$6:$G$2005,"Wrong citation")+COUNTIFS('Claim Review'!$A$6:$A$2005,A143,'Claim Review'!$C$6:$C$2005,"&lt;&gt;",'Claim Review'!$G$6:$G$2005,"Missing citation"))</f>
        <v/>
      </c>
      <c r="N143" s="11">
        <f>IF(A143="","",COUNTIFS('Claim Review'!$A$6:$A$2005,A143,'Claim Review'!$C$6:$C$2005,"&lt;&gt;",'Claim Review'!$H$6:$H$2005,"Yes"))</f>
        <v/>
      </c>
      <c r="O143" s="11">
        <f>IF(A143="","",COUNTIFS('Claim Review'!$A$6:$A$2005,A143,'Claim Review'!$C$6:$C$2005,"&lt;&gt;"))</f>
        <v/>
      </c>
      <c r="P143" s="11">
        <f>IF(A143="","",COUNTIFS('Claim Review'!$A$6:$A$2005,A143,'Claim Review'!$C$6:$C$2005,"&lt;&gt;",'Claim Review'!$F$6:$F$2005,"Supported"))</f>
        <v/>
      </c>
      <c r="Q143" s="11">
        <f>IF(A143="","",O143-COUNTIFS('Claim Review'!$A$6:$A$2005,A143,'Claim Review'!$C$6:$C$2005,"&lt;&gt;",'Claim Review'!$K$6:$K$2005,"Yes"))</f>
        <v/>
      </c>
      <c r="R143" s="12">
        <f>IF(AND(A143&lt;&gt;"",COUNTIF($A$6:$A$205,A143)=1,COUNTIF('Test Cases'!$A$6:$A$205,B143)=1,I143&lt;&gt;"",J143&lt;&gt;"",OR(K143="Answered",K143="Clarification",K143="Abstained"),X143="Yes",T143&lt;&gt;"",O143&gt;0,Q143=0),P143/MAX(1,O143),"")</f>
        <v/>
      </c>
      <c r="S143" s="11">
        <f>IF(A143="","",IF(AND(J143="",K143=""),"Pending",IF(COUNTIF($A$6:$A$205,A143)&lt;&gt;1,"Duplicate Run ID",IF(COUNTIF('Test Cases'!$A$6:$A$205,B143)&lt;&gt;1,"Check Test ID",IF(K143="Error","FAIL",IF(OR(I143="",J143=""),"Needs evidence / answer",IF(NOT(OR(K143="Answered",K143="Clarification",K143="Abstained")),"Choose outcome",IF(X143&lt;&gt;"Yes","Confirm claim inventory",IF(AND(K143="Answered",O143=0),"Needs claims",IF(Q143&gt;0,"Needs claim review",IF(OR(NOT(OR(L143="Yes",L143="No")),T143=""),"Needs response review",IF(OR(L143="No",M143&gt;0,N143&gt;0,AND(ISNUMBER(R143),R143&lt;Dashboard!$B$5)),"FAIL","PASS"))))))))))))</f>
        <v/>
      </c>
      <c r="V143" s="11">
        <f>IF(B143="","",IFERROR(VLOOKUP(B143,'Test Cases'!$A$6:$J$205,7,FALSE),"Unknown Test ID"))</f>
        <v/>
      </c>
      <c r="W143" s="11">
        <f>IF(B143="","",IFERROR(VLOOKUP(B143,'Test Cases'!$A$6:$J$205,8,FALSE),"Unknown Test ID"))</f>
        <v/>
      </c>
    </row>
    <row r="144" spans="3:23">
      <c r="C144" s="11">
        <f>IF(B144="","",IFERROR(VLOOKUP(B144,'Test Cases'!$A$6:$J$205,2,FALSE),"Unknown Test ID"))</f>
        <v/>
      </c>
      <c r="D144" s="11">
        <f>IF(B144="","",IFERROR(VLOOKUP(B144,'Test Cases'!$A$6:$J$205,5,FALSE),"Unknown Test ID"))</f>
        <v/>
      </c>
      <c r="M144" s="11">
        <f>IF(A144="","",COUNTIFS('Claim Review'!$A$6:$A$2005,A144,'Claim Review'!$C$6:$C$2005,"&lt;&gt;",'Claim Review'!$G$6:$G$2005,"Wrong citation")+COUNTIFS('Claim Review'!$A$6:$A$2005,A144,'Claim Review'!$C$6:$C$2005,"&lt;&gt;",'Claim Review'!$G$6:$G$2005,"Missing citation"))</f>
        <v/>
      </c>
      <c r="N144" s="11">
        <f>IF(A144="","",COUNTIFS('Claim Review'!$A$6:$A$2005,A144,'Claim Review'!$C$6:$C$2005,"&lt;&gt;",'Claim Review'!$H$6:$H$2005,"Yes"))</f>
        <v/>
      </c>
      <c r="O144" s="11">
        <f>IF(A144="","",COUNTIFS('Claim Review'!$A$6:$A$2005,A144,'Claim Review'!$C$6:$C$2005,"&lt;&gt;"))</f>
        <v/>
      </c>
      <c r="P144" s="11">
        <f>IF(A144="","",COUNTIFS('Claim Review'!$A$6:$A$2005,A144,'Claim Review'!$C$6:$C$2005,"&lt;&gt;",'Claim Review'!$F$6:$F$2005,"Supported"))</f>
        <v/>
      </c>
      <c r="Q144" s="11">
        <f>IF(A144="","",O144-COUNTIFS('Claim Review'!$A$6:$A$2005,A144,'Claim Review'!$C$6:$C$2005,"&lt;&gt;",'Claim Review'!$K$6:$K$2005,"Yes"))</f>
        <v/>
      </c>
      <c r="R144" s="12">
        <f>IF(AND(A144&lt;&gt;"",COUNTIF($A$6:$A$205,A144)=1,COUNTIF('Test Cases'!$A$6:$A$205,B144)=1,I144&lt;&gt;"",J144&lt;&gt;"",OR(K144="Answered",K144="Clarification",K144="Abstained"),X144="Yes",T144&lt;&gt;"",O144&gt;0,Q144=0),P144/MAX(1,O144),"")</f>
        <v/>
      </c>
      <c r="S144" s="11">
        <f>IF(A144="","",IF(AND(J144="",K144=""),"Pending",IF(COUNTIF($A$6:$A$205,A144)&lt;&gt;1,"Duplicate Run ID",IF(COUNTIF('Test Cases'!$A$6:$A$205,B144)&lt;&gt;1,"Check Test ID",IF(K144="Error","FAIL",IF(OR(I144="",J144=""),"Needs evidence / answer",IF(NOT(OR(K144="Answered",K144="Clarification",K144="Abstained")),"Choose outcome",IF(X144&lt;&gt;"Yes","Confirm claim inventory",IF(AND(K144="Answered",O144=0),"Needs claims",IF(Q144&gt;0,"Needs claim review",IF(OR(NOT(OR(L144="Yes",L144="No")),T144=""),"Needs response review",IF(OR(L144="No",M144&gt;0,N144&gt;0,AND(ISNUMBER(R144),R144&lt;Dashboard!$B$5)),"FAIL","PASS"))))))))))))</f>
        <v/>
      </c>
      <c r="V144" s="11">
        <f>IF(B144="","",IFERROR(VLOOKUP(B144,'Test Cases'!$A$6:$J$205,7,FALSE),"Unknown Test ID"))</f>
        <v/>
      </c>
      <c r="W144" s="11">
        <f>IF(B144="","",IFERROR(VLOOKUP(B144,'Test Cases'!$A$6:$J$205,8,FALSE),"Unknown Test ID"))</f>
        <v/>
      </c>
    </row>
    <row r="145" spans="3:23">
      <c r="C145" s="11">
        <f>IF(B145="","",IFERROR(VLOOKUP(B145,'Test Cases'!$A$6:$J$205,2,FALSE),"Unknown Test ID"))</f>
        <v/>
      </c>
      <c r="D145" s="11">
        <f>IF(B145="","",IFERROR(VLOOKUP(B145,'Test Cases'!$A$6:$J$205,5,FALSE),"Unknown Test ID"))</f>
        <v/>
      </c>
      <c r="M145" s="11">
        <f>IF(A145="","",COUNTIFS('Claim Review'!$A$6:$A$2005,A145,'Claim Review'!$C$6:$C$2005,"&lt;&gt;",'Claim Review'!$G$6:$G$2005,"Wrong citation")+COUNTIFS('Claim Review'!$A$6:$A$2005,A145,'Claim Review'!$C$6:$C$2005,"&lt;&gt;",'Claim Review'!$G$6:$G$2005,"Missing citation"))</f>
        <v/>
      </c>
      <c r="N145" s="11">
        <f>IF(A145="","",COUNTIFS('Claim Review'!$A$6:$A$2005,A145,'Claim Review'!$C$6:$C$2005,"&lt;&gt;",'Claim Review'!$H$6:$H$2005,"Yes"))</f>
        <v/>
      </c>
      <c r="O145" s="11">
        <f>IF(A145="","",COUNTIFS('Claim Review'!$A$6:$A$2005,A145,'Claim Review'!$C$6:$C$2005,"&lt;&gt;"))</f>
        <v/>
      </c>
      <c r="P145" s="11">
        <f>IF(A145="","",COUNTIFS('Claim Review'!$A$6:$A$2005,A145,'Claim Review'!$C$6:$C$2005,"&lt;&gt;",'Claim Review'!$F$6:$F$2005,"Supported"))</f>
        <v/>
      </c>
      <c r="Q145" s="11">
        <f>IF(A145="","",O145-COUNTIFS('Claim Review'!$A$6:$A$2005,A145,'Claim Review'!$C$6:$C$2005,"&lt;&gt;",'Claim Review'!$K$6:$K$2005,"Yes"))</f>
        <v/>
      </c>
      <c r="R145" s="12">
        <f>IF(AND(A145&lt;&gt;"",COUNTIF($A$6:$A$205,A145)=1,COUNTIF('Test Cases'!$A$6:$A$205,B145)=1,I145&lt;&gt;"",J145&lt;&gt;"",OR(K145="Answered",K145="Clarification",K145="Abstained"),X145="Yes",T145&lt;&gt;"",O145&gt;0,Q145=0),P145/MAX(1,O145),"")</f>
        <v/>
      </c>
      <c r="S145" s="11">
        <f>IF(A145="","",IF(AND(J145="",K145=""),"Pending",IF(COUNTIF($A$6:$A$205,A145)&lt;&gt;1,"Duplicate Run ID",IF(COUNTIF('Test Cases'!$A$6:$A$205,B145)&lt;&gt;1,"Check Test ID",IF(K145="Error","FAIL",IF(OR(I145="",J145=""),"Needs evidence / answer",IF(NOT(OR(K145="Answered",K145="Clarification",K145="Abstained")),"Choose outcome",IF(X145&lt;&gt;"Yes","Confirm claim inventory",IF(AND(K145="Answered",O145=0),"Needs claims",IF(Q145&gt;0,"Needs claim review",IF(OR(NOT(OR(L145="Yes",L145="No")),T145=""),"Needs response review",IF(OR(L145="No",M145&gt;0,N145&gt;0,AND(ISNUMBER(R145),R145&lt;Dashboard!$B$5)),"FAIL","PASS"))))))))))))</f>
        <v/>
      </c>
      <c r="V145" s="11">
        <f>IF(B145="","",IFERROR(VLOOKUP(B145,'Test Cases'!$A$6:$J$205,7,FALSE),"Unknown Test ID"))</f>
        <v/>
      </c>
      <c r="W145" s="11">
        <f>IF(B145="","",IFERROR(VLOOKUP(B145,'Test Cases'!$A$6:$J$205,8,FALSE),"Unknown Test ID"))</f>
        <v/>
      </c>
    </row>
    <row r="146" spans="3:23">
      <c r="C146" s="11">
        <f>IF(B146="","",IFERROR(VLOOKUP(B146,'Test Cases'!$A$6:$J$205,2,FALSE),"Unknown Test ID"))</f>
        <v/>
      </c>
      <c r="D146" s="11">
        <f>IF(B146="","",IFERROR(VLOOKUP(B146,'Test Cases'!$A$6:$J$205,5,FALSE),"Unknown Test ID"))</f>
        <v/>
      </c>
      <c r="M146" s="11">
        <f>IF(A146="","",COUNTIFS('Claim Review'!$A$6:$A$2005,A146,'Claim Review'!$C$6:$C$2005,"&lt;&gt;",'Claim Review'!$G$6:$G$2005,"Wrong citation")+COUNTIFS('Claim Review'!$A$6:$A$2005,A146,'Claim Review'!$C$6:$C$2005,"&lt;&gt;",'Claim Review'!$G$6:$G$2005,"Missing citation"))</f>
        <v/>
      </c>
      <c r="N146" s="11">
        <f>IF(A146="","",COUNTIFS('Claim Review'!$A$6:$A$2005,A146,'Claim Review'!$C$6:$C$2005,"&lt;&gt;",'Claim Review'!$H$6:$H$2005,"Yes"))</f>
        <v/>
      </c>
      <c r="O146" s="11">
        <f>IF(A146="","",COUNTIFS('Claim Review'!$A$6:$A$2005,A146,'Claim Review'!$C$6:$C$2005,"&lt;&gt;"))</f>
        <v/>
      </c>
      <c r="P146" s="11">
        <f>IF(A146="","",COUNTIFS('Claim Review'!$A$6:$A$2005,A146,'Claim Review'!$C$6:$C$2005,"&lt;&gt;",'Claim Review'!$F$6:$F$2005,"Supported"))</f>
        <v/>
      </c>
      <c r="Q146" s="11">
        <f>IF(A146="","",O146-COUNTIFS('Claim Review'!$A$6:$A$2005,A146,'Claim Review'!$C$6:$C$2005,"&lt;&gt;",'Claim Review'!$K$6:$K$2005,"Yes"))</f>
        <v/>
      </c>
      <c r="R146" s="12">
        <f>IF(AND(A146&lt;&gt;"",COUNTIF($A$6:$A$205,A146)=1,COUNTIF('Test Cases'!$A$6:$A$205,B146)=1,I146&lt;&gt;"",J146&lt;&gt;"",OR(K146="Answered",K146="Clarification",K146="Abstained"),X146="Yes",T146&lt;&gt;"",O146&gt;0,Q146=0),P146/MAX(1,O146),"")</f>
        <v/>
      </c>
      <c r="S146" s="11">
        <f>IF(A146="","",IF(AND(J146="",K146=""),"Pending",IF(COUNTIF($A$6:$A$205,A146)&lt;&gt;1,"Duplicate Run ID",IF(COUNTIF('Test Cases'!$A$6:$A$205,B146)&lt;&gt;1,"Check Test ID",IF(K146="Error","FAIL",IF(OR(I146="",J146=""),"Needs evidence / answer",IF(NOT(OR(K146="Answered",K146="Clarification",K146="Abstained")),"Choose outcome",IF(X146&lt;&gt;"Yes","Confirm claim inventory",IF(AND(K146="Answered",O146=0),"Needs claims",IF(Q146&gt;0,"Needs claim review",IF(OR(NOT(OR(L146="Yes",L146="No")),T146=""),"Needs response review",IF(OR(L146="No",M146&gt;0,N146&gt;0,AND(ISNUMBER(R146),R146&lt;Dashboard!$B$5)),"FAIL","PASS"))))))))))))</f>
        <v/>
      </c>
      <c r="V146" s="11">
        <f>IF(B146="","",IFERROR(VLOOKUP(B146,'Test Cases'!$A$6:$J$205,7,FALSE),"Unknown Test ID"))</f>
        <v/>
      </c>
      <c r="W146" s="11">
        <f>IF(B146="","",IFERROR(VLOOKUP(B146,'Test Cases'!$A$6:$J$205,8,FALSE),"Unknown Test ID"))</f>
        <v/>
      </c>
    </row>
    <row r="147" spans="3:23">
      <c r="C147" s="11">
        <f>IF(B147="","",IFERROR(VLOOKUP(B147,'Test Cases'!$A$6:$J$205,2,FALSE),"Unknown Test ID"))</f>
        <v/>
      </c>
      <c r="D147" s="11">
        <f>IF(B147="","",IFERROR(VLOOKUP(B147,'Test Cases'!$A$6:$J$205,5,FALSE),"Unknown Test ID"))</f>
        <v/>
      </c>
      <c r="M147" s="11">
        <f>IF(A147="","",COUNTIFS('Claim Review'!$A$6:$A$2005,A147,'Claim Review'!$C$6:$C$2005,"&lt;&gt;",'Claim Review'!$G$6:$G$2005,"Wrong citation")+COUNTIFS('Claim Review'!$A$6:$A$2005,A147,'Claim Review'!$C$6:$C$2005,"&lt;&gt;",'Claim Review'!$G$6:$G$2005,"Missing citation"))</f>
        <v/>
      </c>
      <c r="N147" s="11">
        <f>IF(A147="","",COUNTIFS('Claim Review'!$A$6:$A$2005,A147,'Claim Review'!$C$6:$C$2005,"&lt;&gt;",'Claim Review'!$H$6:$H$2005,"Yes"))</f>
        <v/>
      </c>
      <c r="O147" s="11">
        <f>IF(A147="","",COUNTIFS('Claim Review'!$A$6:$A$2005,A147,'Claim Review'!$C$6:$C$2005,"&lt;&gt;"))</f>
        <v/>
      </c>
      <c r="P147" s="11">
        <f>IF(A147="","",COUNTIFS('Claim Review'!$A$6:$A$2005,A147,'Claim Review'!$C$6:$C$2005,"&lt;&gt;",'Claim Review'!$F$6:$F$2005,"Supported"))</f>
        <v/>
      </c>
      <c r="Q147" s="11">
        <f>IF(A147="","",O147-COUNTIFS('Claim Review'!$A$6:$A$2005,A147,'Claim Review'!$C$6:$C$2005,"&lt;&gt;",'Claim Review'!$K$6:$K$2005,"Yes"))</f>
        <v/>
      </c>
      <c r="R147" s="12">
        <f>IF(AND(A147&lt;&gt;"",COUNTIF($A$6:$A$205,A147)=1,COUNTIF('Test Cases'!$A$6:$A$205,B147)=1,I147&lt;&gt;"",J147&lt;&gt;"",OR(K147="Answered",K147="Clarification",K147="Abstained"),X147="Yes",T147&lt;&gt;"",O147&gt;0,Q147=0),P147/MAX(1,O147),"")</f>
        <v/>
      </c>
      <c r="S147" s="11">
        <f>IF(A147="","",IF(AND(J147="",K147=""),"Pending",IF(COUNTIF($A$6:$A$205,A147)&lt;&gt;1,"Duplicate Run ID",IF(COUNTIF('Test Cases'!$A$6:$A$205,B147)&lt;&gt;1,"Check Test ID",IF(K147="Error","FAIL",IF(OR(I147="",J147=""),"Needs evidence / answer",IF(NOT(OR(K147="Answered",K147="Clarification",K147="Abstained")),"Choose outcome",IF(X147&lt;&gt;"Yes","Confirm claim inventory",IF(AND(K147="Answered",O147=0),"Needs claims",IF(Q147&gt;0,"Needs claim review",IF(OR(NOT(OR(L147="Yes",L147="No")),T147=""),"Needs response review",IF(OR(L147="No",M147&gt;0,N147&gt;0,AND(ISNUMBER(R147),R147&lt;Dashboard!$B$5)),"FAIL","PASS"))))))))))))</f>
        <v/>
      </c>
      <c r="V147" s="11">
        <f>IF(B147="","",IFERROR(VLOOKUP(B147,'Test Cases'!$A$6:$J$205,7,FALSE),"Unknown Test ID"))</f>
        <v/>
      </c>
      <c r="W147" s="11">
        <f>IF(B147="","",IFERROR(VLOOKUP(B147,'Test Cases'!$A$6:$J$205,8,FALSE),"Unknown Test ID"))</f>
        <v/>
      </c>
    </row>
    <row r="148" spans="3:23">
      <c r="C148" s="11">
        <f>IF(B148="","",IFERROR(VLOOKUP(B148,'Test Cases'!$A$6:$J$205,2,FALSE),"Unknown Test ID"))</f>
        <v/>
      </c>
      <c r="D148" s="11">
        <f>IF(B148="","",IFERROR(VLOOKUP(B148,'Test Cases'!$A$6:$J$205,5,FALSE),"Unknown Test ID"))</f>
        <v/>
      </c>
      <c r="M148" s="11">
        <f>IF(A148="","",COUNTIFS('Claim Review'!$A$6:$A$2005,A148,'Claim Review'!$C$6:$C$2005,"&lt;&gt;",'Claim Review'!$G$6:$G$2005,"Wrong citation")+COUNTIFS('Claim Review'!$A$6:$A$2005,A148,'Claim Review'!$C$6:$C$2005,"&lt;&gt;",'Claim Review'!$G$6:$G$2005,"Missing citation"))</f>
        <v/>
      </c>
      <c r="N148" s="11">
        <f>IF(A148="","",COUNTIFS('Claim Review'!$A$6:$A$2005,A148,'Claim Review'!$C$6:$C$2005,"&lt;&gt;",'Claim Review'!$H$6:$H$2005,"Yes"))</f>
        <v/>
      </c>
      <c r="O148" s="11">
        <f>IF(A148="","",COUNTIFS('Claim Review'!$A$6:$A$2005,A148,'Claim Review'!$C$6:$C$2005,"&lt;&gt;"))</f>
        <v/>
      </c>
      <c r="P148" s="11">
        <f>IF(A148="","",COUNTIFS('Claim Review'!$A$6:$A$2005,A148,'Claim Review'!$C$6:$C$2005,"&lt;&gt;",'Claim Review'!$F$6:$F$2005,"Supported"))</f>
        <v/>
      </c>
      <c r="Q148" s="11">
        <f>IF(A148="","",O148-COUNTIFS('Claim Review'!$A$6:$A$2005,A148,'Claim Review'!$C$6:$C$2005,"&lt;&gt;",'Claim Review'!$K$6:$K$2005,"Yes"))</f>
        <v/>
      </c>
      <c r="R148" s="12">
        <f>IF(AND(A148&lt;&gt;"",COUNTIF($A$6:$A$205,A148)=1,COUNTIF('Test Cases'!$A$6:$A$205,B148)=1,I148&lt;&gt;"",J148&lt;&gt;"",OR(K148="Answered",K148="Clarification",K148="Abstained"),X148="Yes",T148&lt;&gt;"",O148&gt;0,Q148=0),P148/MAX(1,O148),"")</f>
        <v/>
      </c>
      <c r="S148" s="11">
        <f>IF(A148="","",IF(AND(J148="",K148=""),"Pending",IF(COUNTIF($A$6:$A$205,A148)&lt;&gt;1,"Duplicate Run ID",IF(COUNTIF('Test Cases'!$A$6:$A$205,B148)&lt;&gt;1,"Check Test ID",IF(K148="Error","FAIL",IF(OR(I148="",J148=""),"Needs evidence / answer",IF(NOT(OR(K148="Answered",K148="Clarification",K148="Abstained")),"Choose outcome",IF(X148&lt;&gt;"Yes","Confirm claim inventory",IF(AND(K148="Answered",O148=0),"Needs claims",IF(Q148&gt;0,"Needs claim review",IF(OR(NOT(OR(L148="Yes",L148="No")),T148=""),"Needs response review",IF(OR(L148="No",M148&gt;0,N148&gt;0,AND(ISNUMBER(R148),R148&lt;Dashboard!$B$5)),"FAIL","PASS"))))))))))))</f>
        <v/>
      </c>
      <c r="V148" s="11">
        <f>IF(B148="","",IFERROR(VLOOKUP(B148,'Test Cases'!$A$6:$J$205,7,FALSE),"Unknown Test ID"))</f>
        <v/>
      </c>
      <c r="W148" s="11">
        <f>IF(B148="","",IFERROR(VLOOKUP(B148,'Test Cases'!$A$6:$J$205,8,FALSE),"Unknown Test ID"))</f>
        <v/>
      </c>
    </row>
    <row r="149" spans="3:23">
      <c r="C149" s="11">
        <f>IF(B149="","",IFERROR(VLOOKUP(B149,'Test Cases'!$A$6:$J$205,2,FALSE),"Unknown Test ID"))</f>
        <v/>
      </c>
      <c r="D149" s="11">
        <f>IF(B149="","",IFERROR(VLOOKUP(B149,'Test Cases'!$A$6:$J$205,5,FALSE),"Unknown Test ID"))</f>
        <v/>
      </c>
      <c r="M149" s="11">
        <f>IF(A149="","",COUNTIFS('Claim Review'!$A$6:$A$2005,A149,'Claim Review'!$C$6:$C$2005,"&lt;&gt;",'Claim Review'!$G$6:$G$2005,"Wrong citation")+COUNTIFS('Claim Review'!$A$6:$A$2005,A149,'Claim Review'!$C$6:$C$2005,"&lt;&gt;",'Claim Review'!$G$6:$G$2005,"Missing citation"))</f>
        <v/>
      </c>
      <c r="N149" s="11">
        <f>IF(A149="","",COUNTIFS('Claim Review'!$A$6:$A$2005,A149,'Claim Review'!$C$6:$C$2005,"&lt;&gt;",'Claim Review'!$H$6:$H$2005,"Yes"))</f>
        <v/>
      </c>
      <c r="O149" s="11">
        <f>IF(A149="","",COUNTIFS('Claim Review'!$A$6:$A$2005,A149,'Claim Review'!$C$6:$C$2005,"&lt;&gt;"))</f>
        <v/>
      </c>
      <c r="P149" s="11">
        <f>IF(A149="","",COUNTIFS('Claim Review'!$A$6:$A$2005,A149,'Claim Review'!$C$6:$C$2005,"&lt;&gt;",'Claim Review'!$F$6:$F$2005,"Supported"))</f>
        <v/>
      </c>
      <c r="Q149" s="11">
        <f>IF(A149="","",O149-COUNTIFS('Claim Review'!$A$6:$A$2005,A149,'Claim Review'!$C$6:$C$2005,"&lt;&gt;",'Claim Review'!$K$6:$K$2005,"Yes"))</f>
        <v/>
      </c>
      <c r="R149" s="12">
        <f>IF(AND(A149&lt;&gt;"",COUNTIF($A$6:$A$205,A149)=1,COUNTIF('Test Cases'!$A$6:$A$205,B149)=1,I149&lt;&gt;"",J149&lt;&gt;"",OR(K149="Answered",K149="Clarification",K149="Abstained"),X149="Yes",T149&lt;&gt;"",O149&gt;0,Q149=0),P149/MAX(1,O149),"")</f>
        <v/>
      </c>
      <c r="S149" s="11">
        <f>IF(A149="","",IF(AND(J149="",K149=""),"Pending",IF(COUNTIF($A$6:$A$205,A149)&lt;&gt;1,"Duplicate Run ID",IF(COUNTIF('Test Cases'!$A$6:$A$205,B149)&lt;&gt;1,"Check Test ID",IF(K149="Error","FAIL",IF(OR(I149="",J149=""),"Needs evidence / answer",IF(NOT(OR(K149="Answered",K149="Clarification",K149="Abstained")),"Choose outcome",IF(X149&lt;&gt;"Yes","Confirm claim inventory",IF(AND(K149="Answered",O149=0),"Needs claims",IF(Q149&gt;0,"Needs claim review",IF(OR(NOT(OR(L149="Yes",L149="No")),T149=""),"Needs response review",IF(OR(L149="No",M149&gt;0,N149&gt;0,AND(ISNUMBER(R149),R149&lt;Dashboard!$B$5)),"FAIL","PASS"))))))))))))</f>
        <v/>
      </c>
      <c r="V149" s="11">
        <f>IF(B149="","",IFERROR(VLOOKUP(B149,'Test Cases'!$A$6:$J$205,7,FALSE),"Unknown Test ID"))</f>
        <v/>
      </c>
      <c r="W149" s="11">
        <f>IF(B149="","",IFERROR(VLOOKUP(B149,'Test Cases'!$A$6:$J$205,8,FALSE),"Unknown Test ID"))</f>
        <v/>
      </c>
    </row>
    <row r="150" spans="3:23">
      <c r="C150" s="11">
        <f>IF(B150="","",IFERROR(VLOOKUP(B150,'Test Cases'!$A$6:$J$205,2,FALSE),"Unknown Test ID"))</f>
        <v/>
      </c>
      <c r="D150" s="11">
        <f>IF(B150="","",IFERROR(VLOOKUP(B150,'Test Cases'!$A$6:$J$205,5,FALSE),"Unknown Test ID"))</f>
        <v/>
      </c>
      <c r="M150" s="11">
        <f>IF(A150="","",COUNTIFS('Claim Review'!$A$6:$A$2005,A150,'Claim Review'!$C$6:$C$2005,"&lt;&gt;",'Claim Review'!$G$6:$G$2005,"Wrong citation")+COUNTIFS('Claim Review'!$A$6:$A$2005,A150,'Claim Review'!$C$6:$C$2005,"&lt;&gt;",'Claim Review'!$G$6:$G$2005,"Missing citation"))</f>
        <v/>
      </c>
      <c r="N150" s="11">
        <f>IF(A150="","",COUNTIFS('Claim Review'!$A$6:$A$2005,A150,'Claim Review'!$C$6:$C$2005,"&lt;&gt;",'Claim Review'!$H$6:$H$2005,"Yes"))</f>
        <v/>
      </c>
      <c r="O150" s="11">
        <f>IF(A150="","",COUNTIFS('Claim Review'!$A$6:$A$2005,A150,'Claim Review'!$C$6:$C$2005,"&lt;&gt;"))</f>
        <v/>
      </c>
      <c r="P150" s="11">
        <f>IF(A150="","",COUNTIFS('Claim Review'!$A$6:$A$2005,A150,'Claim Review'!$C$6:$C$2005,"&lt;&gt;",'Claim Review'!$F$6:$F$2005,"Supported"))</f>
        <v/>
      </c>
      <c r="Q150" s="11">
        <f>IF(A150="","",O150-COUNTIFS('Claim Review'!$A$6:$A$2005,A150,'Claim Review'!$C$6:$C$2005,"&lt;&gt;",'Claim Review'!$K$6:$K$2005,"Yes"))</f>
        <v/>
      </c>
      <c r="R150" s="12">
        <f>IF(AND(A150&lt;&gt;"",COUNTIF($A$6:$A$205,A150)=1,COUNTIF('Test Cases'!$A$6:$A$205,B150)=1,I150&lt;&gt;"",J150&lt;&gt;"",OR(K150="Answered",K150="Clarification",K150="Abstained"),X150="Yes",T150&lt;&gt;"",O150&gt;0,Q150=0),P150/MAX(1,O150),"")</f>
        <v/>
      </c>
      <c r="S150" s="11">
        <f>IF(A150="","",IF(AND(J150="",K150=""),"Pending",IF(COUNTIF($A$6:$A$205,A150)&lt;&gt;1,"Duplicate Run ID",IF(COUNTIF('Test Cases'!$A$6:$A$205,B150)&lt;&gt;1,"Check Test ID",IF(K150="Error","FAIL",IF(OR(I150="",J150=""),"Needs evidence / answer",IF(NOT(OR(K150="Answered",K150="Clarification",K150="Abstained")),"Choose outcome",IF(X150&lt;&gt;"Yes","Confirm claim inventory",IF(AND(K150="Answered",O150=0),"Needs claims",IF(Q150&gt;0,"Needs claim review",IF(OR(NOT(OR(L150="Yes",L150="No")),T150=""),"Needs response review",IF(OR(L150="No",M150&gt;0,N150&gt;0,AND(ISNUMBER(R150),R150&lt;Dashboard!$B$5)),"FAIL","PASS"))))))))))))</f>
        <v/>
      </c>
      <c r="V150" s="11">
        <f>IF(B150="","",IFERROR(VLOOKUP(B150,'Test Cases'!$A$6:$J$205,7,FALSE),"Unknown Test ID"))</f>
        <v/>
      </c>
      <c r="W150" s="11">
        <f>IF(B150="","",IFERROR(VLOOKUP(B150,'Test Cases'!$A$6:$J$205,8,FALSE),"Unknown Test ID"))</f>
        <v/>
      </c>
    </row>
    <row r="151" spans="3:23">
      <c r="C151" s="11">
        <f>IF(B151="","",IFERROR(VLOOKUP(B151,'Test Cases'!$A$6:$J$205,2,FALSE),"Unknown Test ID"))</f>
        <v/>
      </c>
      <c r="D151" s="11">
        <f>IF(B151="","",IFERROR(VLOOKUP(B151,'Test Cases'!$A$6:$J$205,5,FALSE),"Unknown Test ID"))</f>
        <v/>
      </c>
      <c r="M151" s="11">
        <f>IF(A151="","",COUNTIFS('Claim Review'!$A$6:$A$2005,A151,'Claim Review'!$C$6:$C$2005,"&lt;&gt;",'Claim Review'!$G$6:$G$2005,"Wrong citation")+COUNTIFS('Claim Review'!$A$6:$A$2005,A151,'Claim Review'!$C$6:$C$2005,"&lt;&gt;",'Claim Review'!$G$6:$G$2005,"Missing citation"))</f>
        <v/>
      </c>
      <c r="N151" s="11">
        <f>IF(A151="","",COUNTIFS('Claim Review'!$A$6:$A$2005,A151,'Claim Review'!$C$6:$C$2005,"&lt;&gt;",'Claim Review'!$H$6:$H$2005,"Yes"))</f>
        <v/>
      </c>
      <c r="O151" s="11">
        <f>IF(A151="","",COUNTIFS('Claim Review'!$A$6:$A$2005,A151,'Claim Review'!$C$6:$C$2005,"&lt;&gt;"))</f>
        <v/>
      </c>
      <c r="P151" s="11">
        <f>IF(A151="","",COUNTIFS('Claim Review'!$A$6:$A$2005,A151,'Claim Review'!$C$6:$C$2005,"&lt;&gt;",'Claim Review'!$F$6:$F$2005,"Supported"))</f>
        <v/>
      </c>
      <c r="Q151" s="11">
        <f>IF(A151="","",O151-COUNTIFS('Claim Review'!$A$6:$A$2005,A151,'Claim Review'!$C$6:$C$2005,"&lt;&gt;",'Claim Review'!$K$6:$K$2005,"Yes"))</f>
        <v/>
      </c>
      <c r="R151" s="12">
        <f>IF(AND(A151&lt;&gt;"",COUNTIF($A$6:$A$205,A151)=1,COUNTIF('Test Cases'!$A$6:$A$205,B151)=1,I151&lt;&gt;"",J151&lt;&gt;"",OR(K151="Answered",K151="Clarification",K151="Abstained"),X151="Yes",T151&lt;&gt;"",O151&gt;0,Q151=0),P151/MAX(1,O151),"")</f>
        <v/>
      </c>
      <c r="S151" s="11">
        <f>IF(A151="","",IF(AND(J151="",K151=""),"Pending",IF(COUNTIF($A$6:$A$205,A151)&lt;&gt;1,"Duplicate Run ID",IF(COUNTIF('Test Cases'!$A$6:$A$205,B151)&lt;&gt;1,"Check Test ID",IF(K151="Error","FAIL",IF(OR(I151="",J151=""),"Needs evidence / answer",IF(NOT(OR(K151="Answered",K151="Clarification",K151="Abstained")),"Choose outcome",IF(X151&lt;&gt;"Yes","Confirm claim inventory",IF(AND(K151="Answered",O151=0),"Needs claims",IF(Q151&gt;0,"Needs claim review",IF(OR(NOT(OR(L151="Yes",L151="No")),T151=""),"Needs response review",IF(OR(L151="No",M151&gt;0,N151&gt;0,AND(ISNUMBER(R151),R151&lt;Dashboard!$B$5)),"FAIL","PASS"))))))))))))</f>
        <v/>
      </c>
      <c r="V151" s="11">
        <f>IF(B151="","",IFERROR(VLOOKUP(B151,'Test Cases'!$A$6:$J$205,7,FALSE),"Unknown Test ID"))</f>
        <v/>
      </c>
      <c r="W151" s="11">
        <f>IF(B151="","",IFERROR(VLOOKUP(B151,'Test Cases'!$A$6:$J$205,8,FALSE),"Unknown Test ID"))</f>
        <v/>
      </c>
    </row>
    <row r="152" spans="3:23">
      <c r="C152" s="11">
        <f>IF(B152="","",IFERROR(VLOOKUP(B152,'Test Cases'!$A$6:$J$205,2,FALSE),"Unknown Test ID"))</f>
        <v/>
      </c>
      <c r="D152" s="11">
        <f>IF(B152="","",IFERROR(VLOOKUP(B152,'Test Cases'!$A$6:$J$205,5,FALSE),"Unknown Test ID"))</f>
        <v/>
      </c>
      <c r="M152" s="11">
        <f>IF(A152="","",COUNTIFS('Claim Review'!$A$6:$A$2005,A152,'Claim Review'!$C$6:$C$2005,"&lt;&gt;",'Claim Review'!$G$6:$G$2005,"Wrong citation")+COUNTIFS('Claim Review'!$A$6:$A$2005,A152,'Claim Review'!$C$6:$C$2005,"&lt;&gt;",'Claim Review'!$G$6:$G$2005,"Missing citation"))</f>
        <v/>
      </c>
      <c r="N152" s="11">
        <f>IF(A152="","",COUNTIFS('Claim Review'!$A$6:$A$2005,A152,'Claim Review'!$C$6:$C$2005,"&lt;&gt;",'Claim Review'!$H$6:$H$2005,"Yes"))</f>
        <v/>
      </c>
      <c r="O152" s="11">
        <f>IF(A152="","",COUNTIFS('Claim Review'!$A$6:$A$2005,A152,'Claim Review'!$C$6:$C$2005,"&lt;&gt;"))</f>
        <v/>
      </c>
      <c r="P152" s="11">
        <f>IF(A152="","",COUNTIFS('Claim Review'!$A$6:$A$2005,A152,'Claim Review'!$C$6:$C$2005,"&lt;&gt;",'Claim Review'!$F$6:$F$2005,"Supported"))</f>
        <v/>
      </c>
      <c r="Q152" s="11">
        <f>IF(A152="","",O152-COUNTIFS('Claim Review'!$A$6:$A$2005,A152,'Claim Review'!$C$6:$C$2005,"&lt;&gt;",'Claim Review'!$K$6:$K$2005,"Yes"))</f>
        <v/>
      </c>
      <c r="R152" s="12">
        <f>IF(AND(A152&lt;&gt;"",COUNTIF($A$6:$A$205,A152)=1,COUNTIF('Test Cases'!$A$6:$A$205,B152)=1,I152&lt;&gt;"",J152&lt;&gt;"",OR(K152="Answered",K152="Clarification",K152="Abstained"),X152="Yes",T152&lt;&gt;"",O152&gt;0,Q152=0),P152/MAX(1,O152),"")</f>
        <v/>
      </c>
      <c r="S152" s="11">
        <f>IF(A152="","",IF(AND(J152="",K152=""),"Pending",IF(COUNTIF($A$6:$A$205,A152)&lt;&gt;1,"Duplicate Run ID",IF(COUNTIF('Test Cases'!$A$6:$A$205,B152)&lt;&gt;1,"Check Test ID",IF(K152="Error","FAIL",IF(OR(I152="",J152=""),"Needs evidence / answer",IF(NOT(OR(K152="Answered",K152="Clarification",K152="Abstained")),"Choose outcome",IF(X152&lt;&gt;"Yes","Confirm claim inventory",IF(AND(K152="Answered",O152=0),"Needs claims",IF(Q152&gt;0,"Needs claim review",IF(OR(NOT(OR(L152="Yes",L152="No")),T152=""),"Needs response review",IF(OR(L152="No",M152&gt;0,N152&gt;0,AND(ISNUMBER(R152),R152&lt;Dashboard!$B$5)),"FAIL","PASS"))))))))))))</f>
        <v/>
      </c>
      <c r="V152" s="11">
        <f>IF(B152="","",IFERROR(VLOOKUP(B152,'Test Cases'!$A$6:$J$205,7,FALSE),"Unknown Test ID"))</f>
        <v/>
      </c>
      <c r="W152" s="11">
        <f>IF(B152="","",IFERROR(VLOOKUP(B152,'Test Cases'!$A$6:$J$205,8,FALSE),"Unknown Test ID"))</f>
        <v/>
      </c>
    </row>
    <row r="153" spans="3:23">
      <c r="C153" s="11">
        <f>IF(B153="","",IFERROR(VLOOKUP(B153,'Test Cases'!$A$6:$J$205,2,FALSE),"Unknown Test ID"))</f>
        <v/>
      </c>
      <c r="D153" s="11">
        <f>IF(B153="","",IFERROR(VLOOKUP(B153,'Test Cases'!$A$6:$J$205,5,FALSE),"Unknown Test ID"))</f>
        <v/>
      </c>
      <c r="M153" s="11">
        <f>IF(A153="","",COUNTIFS('Claim Review'!$A$6:$A$2005,A153,'Claim Review'!$C$6:$C$2005,"&lt;&gt;",'Claim Review'!$G$6:$G$2005,"Wrong citation")+COUNTIFS('Claim Review'!$A$6:$A$2005,A153,'Claim Review'!$C$6:$C$2005,"&lt;&gt;",'Claim Review'!$G$6:$G$2005,"Missing citation"))</f>
        <v/>
      </c>
      <c r="N153" s="11">
        <f>IF(A153="","",COUNTIFS('Claim Review'!$A$6:$A$2005,A153,'Claim Review'!$C$6:$C$2005,"&lt;&gt;",'Claim Review'!$H$6:$H$2005,"Yes"))</f>
        <v/>
      </c>
      <c r="O153" s="11">
        <f>IF(A153="","",COUNTIFS('Claim Review'!$A$6:$A$2005,A153,'Claim Review'!$C$6:$C$2005,"&lt;&gt;"))</f>
        <v/>
      </c>
      <c r="P153" s="11">
        <f>IF(A153="","",COUNTIFS('Claim Review'!$A$6:$A$2005,A153,'Claim Review'!$C$6:$C$2005,"&lt;&gt;",'Claim Review'!$F$6:$F$2005,"Supported"))</f>
        <v/>
      </c>
      <c r="Q153" s="11">
        <f>IF(A153="","",O153-COUNTIFS('Claim Review'!$A$6:$A$2005,A153,'Claim Review'!$C$6:$C$2005,"&lt;&gt;",'Claim Review'!$K$6:$K$2005,"Yes"))</f>
        <v/>
      </c>
      <c r="R153" s="12">
        <f>IF(AND(A153&lt;&gt;"",COUNTIF($A$6:$A$205,A153)=1,COUNTIF('Test Cases'!$A$6:$A$205,B153)=1,I153&lt;&gt;"",J153&lt;&gt;"",OR(K153="Answered",K153="Clarification",K153="Abstained"),X153="Yes",T153&lt;&gt;"",O153&gt;0,Q153=0),P153/MAX(1,O153),"")</f>
        <v/>
      </c>
      <c r="S153" s="11">
        <f>IF(A153="","",IF(AND(J153="",K153=""),"Pending",IF(COUNTIF($A$6:$A$205,A153)&lt;&gt;1,"Duplicate Run ID",IF(COUNTIF('Test Cases'!$A$6:$A$205,B153)&lt;&gt;1,"Check Test ID",IF(K153="Error","FAIL",IF(OR(I153="",J153=""),"Needs evidence / answer",IF(NOT(OR(K153="Answered",K153="Clarification",K153="Abstained")),"Choose outcome",IF(X153&lt;&gt;"Yes","Confirm claim inventory",IF(AND(K153="Answered",O153=0),"Needs claims",IF(Q153&gt;0,"Needs claim review",IF(OR(NOT(OR(L153="Yes",L153="No")),T153=""),"Needs response review",IF(OR(L153="No",M153&gt;0,N153&gt;0,AND(ISNUMBER(R153),R153&lt;Dashboard!$B$5)),"FAIL","PASS"))))))))))))</f>
        <v/>
      </c>
      <c r="V153" s="11">
        <f>IF(B153="","",IFERROR(VLOOKUP(B153,'Test Cases'!$A$6:$J$205,7,FALSE),"Unknown Test ID"))</f>
        <v/>
      </c>
      <c r="W153" s="11">
        <f>IF(B153="","",IFERROR(VLOOKUP(B153,'Test Cases'!$A$6:$J$205,8,FALSE),"Unknown Test ID"))</f>
        <v/>
      </c>
    </row>
    <row r="154" spans="3:23">
      <c r="C154" s="11">
        <f>IF(B154="","",IFERROR(VLOOKUP(B154,'Test Cases'!$A$6:$J$205,2,FALSE),"Unknown Test ID"))</f>
        <v/>
      </c>
      <c r="D154" s="11">
        <f>IF(B154="","",IFERROR(VLOOKUP(B154,'Test Cases'!$A$6:$J$205,5,FALSE),"Unknown Test ID"))</f>
        <v/>
      </c>
      <c r="M154" s="11">
        <f>IF(A154="","",COUNTIFS('Claim Review'!$A$6:$A$2005,A154,'Claim Review'!$C$6:$C$2005,"&lt;&gt;",'Claim Review'!$G$6:$G$2005,"Wrong citation")+COUNTIFS('Claim Review'!$A$6:$A$2005,A154,'Claim Review'!$C$6:$C$2005,"&lt;&gt;",'Claim Review'!$G$6:$G$2005,"Missing citation"))</f>
        <v/>
      </c>
      <c r="N154" s="11">
        <f>IF(A154="","",COUNTIFS('Claim Review'!$A$6:$A$2005,A154,'Claim Review'!$C$6:$C$2005,"&lt;&gt;",'Claim Review'!$H$6:$H$2005,"Yes"))</f>
        <v/>
      </c>
      <c r="O154" s="11">
        <f>IF(A154="","",COUNTIFS('Claim Review'!$A$6:$A$2005,A154,'Claim Review'!$C$6:$C$2005,"&lt;&gt;"))</f>
        <v/>
      </c>
      <c r="P154" s="11">
        <f>IF(A154="","",COUNTIFS('Claim Review'!$A$6:$A$2005,A154,'Claim Review'!$C$6:$C$2005,"&lt;&gt;",'Claim Review'!$F$6:$F$2005,"Supported"))</f>
        <v/>
      </c>
      <c r="Q154" s="11">
        <f>IF(A154="","",O154-COUNTIFS('Claim Review'!$A$6:$A$2005,A154,'Claim Review'!$C$6:$C$2005,"&lt;&gt;",'Claim Review'!$K$6:$K$2005,"Yes"))</f>
        <v/>
      </c>
      <c r="R154" s="12">
        <f>IF(AND(A154&lt;&gt;"",COUNTIF($A$6:$A$205,A154)=1,COUNTIF('Test Cases'!$A$6:$A$205,B154)=1,I154&lt;&gt;"",J154&lt;&gt;"",OR(K154="Answered",K154="Clarification",K154="Abstained"),X154="Yes",T154&lt;&gt;"",O154&gt;0,Q154=0),P154/MAX(1,O154),"")</f>
        <v/>
      </c>
      <c r="S154" s="11">
        <f>IF(A154="","",IF(AND(J154="",K154=""),"Pending",IF(COUNTIF($A$6:$A$205,A154)&lt;&gt;1,"Duplicate Run ID",IF(COUNTIF('Test Cases'!$A$6:$A$205,B154)&lt;&gt;1,"Check Test ID",IF(K154="Error","FAIL",IF(OR(I154="",J154=""),"Needs evidence / answer",IF(NOT(OR(K154="Answered",K154="Clarification",K154="Abstained")),"Choose outcome",IF(X154&lt;&gt;"Yes","Confirm claim inventory",IF(AND(K154="Answered",O154=0),"Needs claims",IF(Q154&gt;0,"Needs claim review",IF(OR(NOT(OR(L154="Yes",L154="No")),T154=""),"Needs response review",IF(OR(L154="No",M154&gt;0,N154&gt;0,AND(ISNUMBER(R154),R154&lt;Dashboard!$B$5)),"FAIL","PASS"))))))))))))</f>
        <v/>
      </c>
      <c r="V154" s="11">
        <f>IF(B154="","",IFERROR(VLOOKUP(B154,'Test Cases'!$A$6:$J$205,7,FALSE),"Unknown Test ID"))</f>
        <v/>
      </c>
      <c r="W154" s="11">
        <f>IF(B154="","",IFERROR(VLOOKUP(B154,'Test Cases'!$A$6:$J$205,8,FALSE),"Unknown Test ID"))</f>
        <v/>
      </c>
    </row>
    <row r="155" spans="3:23">
      <c r="C155" s="11">
        <f>IF(B155="","",IFERROR(VLOOKUP(B155,'Test Cases'!$A$6:$J$205,2,FALSE),"Unknown Test ID"))</f>
        <v/>
      </c>
      <c r="D155" s="11">
        <f>IF(B155="","",IFERROR(VLOOKUP(B155,'Test Cases'!$A$6:$J$205,5,FALSE),"Unknown Test ID"))</f>
        <v/>
      </c>
      <c r="M155" s="11">
        <f>IF(A155="","",COUNTIFS('Claim Review'!$A$6:$A$2005,A155,'Claim Review'!$C$6:$C$2005,"&lt;&gt;",'Claim Review'!$G$6:$G$2005,"Wrong citation")+COUNTIFS('Claim Review'!$A$6:$A$2005,A155,'Claim Review'!$C$6:$C$2005,"&lt;&gt;",'Claim Review'!$G$6:$G$2005,"Missing citation"))</f>
        <v/>
      </c>
      <c r="N155" s="11">
        <f>IF(A155="","",COUNTIFS('Claim Review'!$A$6:$A$2005,A155,'Claim Review'!$C$6:$C$2005,"&lt;&gt;",'Claim Review'!$H$6:$H$2005,"Yes"))</f>
        <v/>
      </c>
      <c r="O155" s="11">
        <f>IF(A155="","",COUNTIFS('Claim Review'!$A$6:$A$2005,A155,'Claim Review'!$C$6:$C$2005,"&lt;&gt;"))</f>
        <v/>
      </c>
      <c r="P155" s="11">
        <f>IF(A155="","",COUNTIFS('Claim Review'!$A$6:$A$2005,A155,'Claim Review'!$C$6:$C$2005,"&lt;&gt;",'Claim Review'!$F$6:$F$2005,"Supported"))</f>
        <v/>
      </c>
      <c r="Q155" s="11">
        <f>IF(A155="","",O155-COUNTIFS('Claim Review'!$A$6:$A$2005,A155,'Claim Review'!$C$6:$C$2005,"&lt;&gt;",'Claim Review'!$K$6:$K$2005,"Yes"))</f>
        <v/>
      </c>
      <c r="R155" s="12">
        <f>IF(AND(A155&lt;&gt;"",COUNTIF($A$6:$A$205,A155)=1,COUNTIF('Test Cases'!$A$6:$A$205,B155)=1,I155&lt;&gt;"",J155&lt;&gt;"",OR(K155="Answered",K155="Clarification",K155="Abstained"),X155="Yes",T155&lt;&gt;"",O155&gt;0,Q155=0),P155/MAX(1,O155),"")</f>
        <v/>
      </c>
      <c r="S155" s="11">
        <f>IF(A155="","",IF(AND(J155="",K155=""),"Pending",IF(COUNTIF($A$6:$A$205,A155)&lt;&gt;1,"Duplicate Run ID",IF(COUNTIF('Test Cases'!$A$6:$A$205,B155)&lt;&gt;1,"Check Test ID",IF(K155="Error","FAIL",IF(OR(I155="",J155=""),"Needs evidence / answer",IF(NOT(OR(K155="Answered",K155="Clarification",K155="Abstained")),"Choose outcome",IF(X155&lt;&gt;"Yes","Confirm claim inventory",IF(AND(K155="Answered",O155=0),"Needs claims",IF(Q155&gt;0,"Needs claim review",IF(OR(NOT(OR(L155="Yes",L155="No")),T155=""),"Needs response review",IF(OR(L155="No",M155&gt;0,N155&gt;0,AND(ISNUMBER(R155),R155&lt;Dashboard!$B$5)),"FAIL","PASS"))))))))))))</f>
        <v/>
      </c>
      <c r="V155" s="11">
        <f>IF(B155="","",IFERROR(VLOOKUP(B155,'Test Cases'!$A$6:$J$205,7,FALSE),"Unknown Test ID"))</f>
        <v/>
      </c>
      <c r="W155" s="11">
        <f>IF(B155="","",IFERROR(VLOOKUP(B155,'Test Cases'!$A$6:$J$205,8,FALSE),"Unknown Test ID"))</f>
        <v/>
      </c>
    </row>
    <row r="156" spans="3:23">
      <c r="C156" s="11">
        <f>IF(B156="","",IFERROR(VLOOKUP(B156,'Test Cases'!$A$6:$J$205,2,FALSE),"Unknown Test ID"))</f>
        <v/>
      </c>
      <c r="D156" s="11">
        <f>IF(B156="","",IFERROR(VLOOKUP(B156,'Test Cases'!$A$6:$J$205,5,FALSE),"Unknown Test ID"))</f>
        <v/>
      </c>
      <c r="M156" s="11">
        <f>IF(A156="","",COUNTIFS('Claim Review'!$A$6:$A$2005,A156,'Claim Review'!$C$6:$C$2005,"&lt;&gt;",'Claim Review'!$G$6:$G$2005,"Wrong citation")+COUNTIFS('Claim Review'!$A$6:$A$2005,A156,'Claim Review'!$C$6:$C$2005,"&lt;&gt;",'Claim Review'!$G$6:$G$2005,"Missing citation"))</f>
        <v/>
      </c>
      <c r="N156" s="11">
        <f>IF(A156="","",COUNTIFS('Claim Review'!$A$6:$A$2005,A156,'Claim Review'!$C$6:$C$2005,"&lt;&gt;",'Claim Review'!$H$6:$H$2005,"Yes"))</f>
        <v/>
      </c>
      <c r="O156" s="11">
        <f>IF(A156="","",COUNTIFS('Claim Review'!$A$6:$A$2005,A156,'Claim Review'!$C$6:$C$2005,"&lt;&gt;"))</f>
        <v/>
      </c>
      <c r="P156" s="11">
        <f>IF(A156="","",COUNTIFS('Claim Review'!$A$6:$A$2005,A156,'Claim Review'!$C$6:$C$2005,"&lt;&gt;",'Claim Review'!$F$6:$F$2005,"Supported"))</f>
        <v/>
      </c>
      <c r="Q156" s="11">
        <f>IF(A156="","",O156-COUNTIFS('Claim Review'!$A$6:$A$2005,A156,'Claim Review'!$C$6:$C$2005,"&lt;&gt;",'Claim Review'!$K$6:$K$2005,"Yes"))</f>
        <v/>
      </c>
      <c r="R156" s="12">
        <f>IF(AND(A156&lt;&gt;"",COUNTIF($A$6:$A$205,A156)=1,COUNTIF('Test Cases'!$A$6:$A$205,B156)=1,I156&lt;&gt;"",J156&lt;&gt;"",OR(K156="Answered",K156="Clarification",K156="Abstained"),X156="Yes",T156&lt;&gt;"",O156&gt;0,Q156=0),P156/MAX(1,O156),"")</f>
        <v/>
      </c>
      <c r="S156" s="11">
        <f>IF(A156="","",IF(AND(J156="",K156=""),"Pending",IF(COUNTIF($A$6:$A$205,A156)&lt;&gt;1,"Duplicate Run ID",IF(COUNTIF('Test Cases'!$A$6:$A$205,B156)&lt;&gt;1,"Check Test ID",IF(K156="Error","FAIL",IF(OR(I156="",J156=""),"Needs evidence / answer",IF(NOT(OR(K156="Answered",K156="Clarification",K156="Abstained")),"Choose outcome",IF(X156&lt;&gt;"Yes","Confirm claim inventory",IF(AND(K156="Answered",O156=0),"Needs claims",IF(Q156&gt;0,"Needs claim review",IF(OR(NOT(OR(L156="Yes",L156="No")),T156=""),"Needs response review",IF(OR(L156="No",M156&gt;0,N156&gt;0,AND(ISNUMBER(R156),R156&lt;Dashboard!$B$5)),"FAIL","PASS"))))))))))))</f>
        <v/>
      </c>
      <c r="V156" s="11">
        <f>IF(B156="","",IFERROR(VLOOKUP(B156,'Test Cases'!$A$6:$J$205,7,FALSE),"Unknown Test ID"))</f>
        <v/>
      </c>
      <c r="W156" s="11">
        <f>IF(B156="","",IFERROR(VLOOKUP(B156,'Test Cases'!$A$6:$J$205,8,FALSE),"Unknown Test ID"))</f>
        <v/>
      </c>
    </row>
    <row r="157" spans="3:23">
      <c r="C157" s="11">
        <f>IF(B157="","",IFERROR(VLOOKUP(B157,'Test Cases'!$A$6:$J$205,2,FALSE),"Unknown Test ID"))</f>
        <v/>
      </c>
      <c r="D157" s="11">
        <f>IF(B157="","",IFERROR(VLOOKUP(B157,'Test Cases'!$A$6:$J$205,5,FALSE),"Unknown Test ID"))</f>
        <v/>
      </c>
      <c r="M157" s="11">
        <f>IF(A157="","",COUNTIFS('Claim Review'!$A$6:$A$2005,A157,'Claim Review'!$C$6:$C$2005,"&lt;&gt;",'Claim Review'!$G$6:$G$2005,"Wrong citation")+COUNTIFS('Claim Review'!$A$6:$A$2005,A157,'Claim Review'!$C$6:$C$2005,"&lt;&gt;",'Claim Review'!$G$6:$G$2005,"Missing citation"))</f>
        <v/>
      </c>
      <c r="N157" s="11">
        <f>IF(A157="","",COUNTIFS('Claim Review'!$A$6:$A$2005,A157,'Claim Review'!$C$6:$C$2005,"&lt;&gt;",'Claim Review'!$H$6:$H$2005,"Yes"))</f>
        <v/>
      </c>
      <c r="O157" s="11">
        <f>IF(A157="","",COUNTIFS('Claim Review'!$A$6:$A$2005,A157,'Claim Review'!$C$6:$C$2005,"&lt;&gt;"))</f>
        <v/>
      </c>
      <c r="P157" s="11">
        <f>IF(A157="","",COUNTIFS('Claim Review'!$A$6:$A$2005,A157,'Claim Review'!$C$6:$C$2005,"&lt;&gt;",'Claim Review'!$F$6:$F$2005,"Supported"))</f>
        <v/>
      </c>
      <c r="Q157" s="11">
        <f>IF(A157="","",O157-COUNTIFS('Claim Review'!$A$6:$A$2005,A157,'Claim Review'!$C$6:$C$2005,"&lt;&gt;",'Claim Review'!$K$6:$K$2005,"Yes"))</f>
        <v/>
      </c>
      <c r="R157" s="12">
        <f>IF(AND(A157&lt;&gt;"",COUNTIF($A$6:$A$205,A157)=1,COUNTIF('Test Cases'!$A$6:$A$205,B157)=1,I157&lt;&gt;"",J157&lt;&gt;"",OR(K157="Answered",K157="Clarification",K157="Abstained"),X157="Yes",T157&lt;&gt;"",O157&gt;0,Q157=0),P157/MAX(1,O157),"")</f>
        <v/>
      </c>
      <c r="S157" s="11">
        <f>IF(A157="","",IF(AND(J157="",K157=""),"Pending",IF(COUNTIF($A$6:$A$205,A157)&lt;&gt;1,"Duplicate Run ID",IF(COUNTIF('Test Cases'!$A$6:$A$205,B157)&lt;&gt;1,"Check Test ID",IF(K157="Error","FAIL",IF(OR(I157="",J157=""),"Needs evidence / answer",IF(NOT(OR(K157="Answered",K157="Clarification",K157="Abstained")),"Choose outcome",IF(X157&lt;&gt;"Yes","Confirm claim inventory",IF(AND(K157="Answered",O157=0),"Needs claims",IF(Q157&gt;0,"Needs claim review",IF(OR(NOT(OR(L157="Yes",L157="No")),T157=""),"Needs response review",IF(OR(L157="No",M157&gt;0,N157&gt;0,AND(ISNUMBER(R157),R157&lt;Dashboard!$B$5)),"FAIL","PASS"))))))))))))</f>
        <v/>
      </c>
      <c r="V157" s="11">
        <f>IF(B157="","",IFERROR(VLOOKUP(B157,'Test Cases'!$A$6:$J$205,7,FALSE),"Unknown Test ID"))</f>
        <v/>
      </c>
      <c r="W157" s="11">
        <f>IF(B157="","",IFERROR(VLOOKUP(B157,'Test Cases'!$A$6:$J$205,8,FALSE),"Unknown Test ID"))</f>
        <v/>
      </c>
    </row>
    <row r="158" spans="3:23">
      <c r="C158" s="11">
        <f>IF(B158="","",IFERROR(VLOOKUP(B158,'Test Cases'!$A$6:$J$205,2,FALSE),"Unknown Test ID"))</f>
        <v/>
      </c>
      <c r="D158" s="11">
        <f>IF(B158="","",IFERROR(VLOOKUP(B158,'Test Cases'!$A$6:$J$205,5,FALSE),"Unknown Test ID"))</f>
        <v/>
      </c>
      <c r="M158" s="11">
        <f>IF(A158="","",COUNTIFS('Claim Review'!$A$6:$A$2005,A158,'Claim Review'!$C$6:$C$2005,"&lt;&gt;",'Claim Review'!$G$6:$G$2005,"Wrong citation")+COUNTIFS('Claim Review'!$A$6:$A$2005,A158,'Claim Review'!$C$6:$C$2005,"&lt;&gt;",'Claim Review'!$G$6:$G$2005,"Missing citation"))</f>
        <v/>
      </c>
      <c r="N158" s="11">
        <f>IF(A158="","",COUNTIFS('Claim Review'!$A$6:$A$2005,A158,'Claim Review'!$C$6:$C$2005,"&lt;&gt;",'Claim Review'!$H$6:$H$2005,"Yes"))</f>
        <v/>
      </c>
      <c r="O158" s="11">
        <f>IF(A158="","",COUNTIFS('Claim Review'!$A$6:$A$2005,A158,'Claim Review'!$C$6:$C$2005,"&lt;&gt;"))</f>
        <v/>
      </c>
      <c r="P158" s="11">
        <f>IF(A158="","",COUNTIFS('Claim Review'!$A$6:$A$2005,A158,'Claim Review'!$C$6:$C$2005,"&lt;&gt;",'Claim Review'!$F$6:$F$2005,"Supported"))</f>
        <v/>
      </c>
      <c r="Q158" s="11">
        <f>IF(A158="","",O158-COUNTIFS('Claim Review'!$A$6:$A$2005,A158,'Claim Review'!$C$6:$C$2005,"&lt;&gt;",'Claim Review'!$K$6:$K$2005,"Yes"))</f>
        <v/>
      </c>
      <c r="R158" s="12">
        <f>IF(AND(A158&lt;&gt;"",COUNTIF($A$6:$A$205,A158)=1,COUNTIF('Test Cases'!$A$6:$A$205,B158)=1,I158&lt;&gt;"",J158&lt;&gt;"",OR(K158="Answered",K158="Clarification",K158="Abstained"),X158="Yes",T158&lt;&gt;"",O158&gt;0,Q158=0),P158/MAX(1,O158),"")</f>
        <v/>
      </c>
      <c r="S158" s="11">
        <f>IF(A158="","",IF(AND(J158="",K158=""),"Pending",IF(COUNTIF($A$6:$A$205,A158)&lt;&gt;1,"Duplicate Run ID",IF(COUNTIF('Test Cases'!$A$6:$A$205,B158)&lt;&gt;1,"Check Test ID",IF(K158="Error","FAIL",IF(OR(I158="",J158=""),"Needs evidence / answer",IF(NOT(OR(K158="Answered",K158="Clarification",K158="Abstained")),"Choose outcome",IF(X158&lt;&gt;"Yes","Confirm claim inventory",IF(AND(K158="Answered",O158=0),"Needs claims",IF(Q158&gt;0,"Needs claim review",IF(OR(NOT(OR(L158="Yes",L158="No")),T158=""),"Needs response review",IF(OR(L158="No",M158&gt;0,N158&gt;0,AND(ISNUMBER(R158),R158&lt;Dashboard!$B$5)),"FAIL","PASS"))))))))))))</f>
        <v/>
      </c>
      <c r="V158" s="11">
        <f>IF(B158="","",IFERROR(VLOOKUP(B158,'Test Cases'!$A$6:$J$205,7,FALSE),"Unknown Test ID"))</f>
        <v/>
      </c>
      <c r="W158" s="11">
        <f>IF(B158="","",IFERROR(VLOOKUP(B158,'Test Cases'!$A$6:$J$205,8,FALSE),"Unknown Test ID"))</f>
        <v/>
      </c>
    </row>
    <row r="159" spans="3:23">
      <c r="C159" s="11">
        <f>IF(B159="","",IFERROR(VLOOKUP(B159,'Test Cases'!$A$6:$J$205,2,FALSE),"Unknown Test ID"))</f>
        <v/>
      </c>
      <c r="D159" s="11">
        <f>IF(B159="","",IFERROR(VLOOKUP(B159,'Test Cases'!$A$6:$J$205,5,FALSE),"Unknown Test ID"))</f>
        <v/>
      </c>
      <c r="M159" s="11">
        <f>IF(A159="","",COUNTIFS('Claim Review'!$A$6:$A$2005,A159,'Claim Review'!$C$6:$C$2005,"&lt;&gt;",'Claim Review'!$G$6:$G$2005,"Wrong citation")+COUNTIFS('Claim Review'!$A$6:$A$2005,A159,'Claim Review'!$C$6:$C$2005,"&lt;&gt;",'Claim Review'!$G$6:$G$2005,"Missing citation"))</f>
        <v/>
      </c>
      <c r="N159" s="11">
        <f>IF(A159="","",COUNTIFS('Claim Review'!$A$6:$A$2005,A159,'Claim Review'!$C$6:$C$2005,"&lt;&gt;",'Claim Review'!$H$6:$H$2005,"Yes"))</f>
        <v/>
      </c>
      <c r="O159" s="11">
        <f>IF(A159="","",COUNTIFS('Claim Review'!$A$6:$A$2005,A159,'Claim Review'!$C$6:$C$2005,"&lt;&gt;"))</f>
        <v/>
      </c>
      <c r="P159" s="11">
        <f>IF(A159="","",COUNTIFS('Claim Review'!$A$6:$A$2005,A159,'Claim Review'!$C$6:$C$2005,"&lt;&gt;",'Claim Review'!$F$6:$F$2005,"Supported"))</f>
        <v/>
      </c>
      <c r="Q159" s="11">
        <f>IF(A159="","",O159-COUNTIFS('Claim Review'!$A$6:$A$2005,A159,'Claim Review'!$C$6:$C$2005,"&lt;&gt;",'Claim Review'!$K$6:$K$2005,"Yes"))</f>
        <v/>
      </c>
      <c r="R159" s="12">
        <f>IF(AND(A159&lt;&gt;"",COUNTIF($A$6:$A$205,A159)=1,COUNTIF('Test Cases'!$A$6:$A$205,B159)=1,I159&lt;&gt;"",J159&lt;&gt;"",OR(K159="Answered",K159="Clarification",K159="Abstained"),X159="Yes",T159&lt;&gt;"",O159&gt;0,Q159=0),P159/MAX(1,O159),"")</f>
        <v/>
      </c>
      <c r="S159" s="11">
        <f>IF(A159="","",IF(AND(J159="",K159=""),"Pending",IF(COUNTIF($A$6:$A$205,A159)&lt;&gt;1,"Duplicate Run ID",IF(COUNTIF('Test Cases'!$A$6:$A$205,B159)&lt;&gt;1,"Check Test ID",IF(K159="Error","FAIL",IF(OR(I159="",J159=""),"Needs evidence / answer",IF(NOT(OR(K159="Answered",K159="Clarification",K159="Abstained")),"Choose outcome",IF(X159&lt;&gt;"Yes","Confirm claim inventory",IF(AND(K159="Answered",O159=0),"Needs claims",IF(Q159&gt;0,"Needs claim review",IF(OR(NOT(OR(L159="Yes",L159="No")),T159=""),"Needs response review",IF(OR(L159="No",M159&gt;0,N159&gt;0,AND(ISNUMBER(R159),R159&lt;Dashboard!$B$5)),"FAIL","PASS"))))))))))))</f>
        <v/>
      </c>
      <c r="V159" s="11">
        <f>IF(B159="","",IFERROR(VLOOKUP(B159,'Test Cases'!$A$6:$J$205,7,FALSE),"Unknown Test ID"))</f>
        <v/>
      </c>
      <c r="W159" s="11">
        <f>IF(B159="","",IFERROR(VLOOKUP(B159,'Test Cases'!$A$6:$J$205,8,FALSE),"Unknown Test ID"))</f>
        <v/>
      </c>
    </row>
    <row r="160" spans="3:23">
      <c r="C160" s="11">
        <f>IF(B160="","",IFERROR(VLOOKUP(B160,'Test Cases'!$A$6:$J$205,2,FALSE),"Unknown Test ID"))</f>
        <v/>
      </c>
      <c r="D160" s="11">
        <f>IF(B160="","",IFERROR(VLOOKUP(B160,'Test Cases'!$A$6:$J$205,5,FALSE),"Unknown Test ID"))</f>
        <v/>
      </c>
      <c r="M160" s="11">
        <f>IF(A160="","",COUNTIFS('Claim Review'!$A$6:$A$2005,A160,'Claim Review'!$C$6:$C$2005,"&lt;&gt;",'Claim Review'!$G$6:$G$2005,"Wrong citation")+COUNTIFS('Claim Review'!$A$6:$A$2005,A160,'Claim Review'!$C$6:$C$2005,"&lt;&gt;",'Claim Review'!$G$6:$G$2005,"Missing citation"))</f>
        <v/>
      </c>
      <c r="N160" s="11">
        <f>IF(A160="","",COUNTIFS('Claim Review'!$A$6:$A$2005,A160,'Claim Review'!$C$6:$C$2005,"&lt;&gt;",'Claim Review'!$H$6:$H$2005,"Yes"))</f>
        <v/>
      </c>
      <c r="O160" s="11">
        <f>IF(A160="","",COUNTIFS('Claim Review'!$A$6:$A$2005,A160,'Claim Review'!$C$6:$C$2005,"&lt;&gt;"))</f>
        <v/>
      </c>
      <c r="P160" s="11">
        <f>IF(A160="","",COUNTIFS('Claim Review'!$A$6:$A$2005,A160,'Claim Review'!$C$6:$C$2005,"&lt;&gt;",'Claim Review'!$F$6:$F$2005,"Supported"))</f>
        <v/>
      </c>
      <c r="Q160" s="11">
        <f>IF(A160="","",O160-COUNTIFS('Claim Review'!$A$6:$A$2005,A160,'Claim Review'!$C$6:$C$2005,"&lt;&gt;",'Claim Review'!$K$6:$K$2005,"Yes"))</f>
        <v/>
      </c>
      <c r="R160" s="12">
        <f>IF(AND(A160&lt;&gt;"",COUNTIF($A$6:$A$205,A160)=1,COUNTIF('Test Cases'!$A$6:$A$205,B160)=1,I160&lt;&gt;"",J160&lt;&gt;"",OR(K160="Answered",K160="Clarification",K160="Abstained"),X160="Yes",T160&lt;&gt;"",O160&gt;0,Q160=0),P160/MAX(1,O160),"")</f>
        <v/>
      </c>
      <c r="S160" s="11">
        <f>IF(A160="","",IF(AND(J160="",K160=""),"Pending",IF(COUNTIF($A$6:$A$205,A160)&lt;&gt;1,"Duplicate Run ID",IF(COUNTIF('Test Cases'!$A$6:$A$205,B160)&lt;&gt;1,"Check Test ID",IF(K160="Error","FAIL",IF(OR(I160="",J160=""),"Needs evidence / answer",IF(NOT(OR(K160="Answered",K160="Clarification",K160="Abstained")),"Choose outcome",IF(X160&lt;&gt;"Yes","Confirm claim inventory",IF(AND(K160="Answered",O160=0),"Needs claims",IF(Q160&gt;0,"Needs claim review",IF(OR(NOT(OR(L160="Yes",L160="No")),T160=""),"Needs response review",IF(OR(L160="No",M160&gt;0,N160&gt;0,AND(ISNUMBER(R160),R160&lt;Dashboard!$B$5)),"FAIL","PASS"))))))))))))</f>
        <v/>
      </c>
      <c r="V160" s="11">
        <f>IF(B160="","",IFERROR(VLOOKUP(B160,'Test Cases'!$A$6:$J$205,7,FALSE),"Unknown Test ID"))</f>
        <v/>
      </c>
      <c r="W160" s="11">
        <f>IF(B160="","",IFERROR(VLOOKUP(B160,'Test Cases'!$A$6:$J$205,8,FALSE),"Unknown Test ID"))</f>
        <v/>
      </c>
    </row>
    <row r="161" spans="3:23">
      <c r="C161" s="11">
        <f>IF(B161="","",IFERROR(VLOOKUP(B161,'Test Cases'!$A$6:$J$205,2,FALSE),"Unknown Test ID"))</f>
        <v/>
      </c>
      <c r="D161" s="11">
        <f>IF(B161="","",IFERROR(VLOOKUP(B161,'Test Cases'!$A$6:$J$205,5,FALSE),"Unknown Test ID"))</f>
        <v/>
      </c>
      <c r="M161" s="11">
        <f>IF(A161="","",COUNTIFS('Claim Review'!$A$6:$A$2005,A161,'Claim Review'!$C$6:$C$2005,"&lt;&gt;",'Claim Review'!$G$6:$G$2005,"Wrong citation")+COUNTIFS('Claim Review'!$A$6:$A$2005,A161,'Claim Review'!$C$6:$C$2005,"&lt;&gt;",'Claim Review'!$G$6:$G$2005,"Missing citation"))</f>
        <v/>
      </c>
      <c r="N161" s="11">
        <f>IF(A161="","",COUNTIFS('Claim Review'!$A$6:$A$2005,A161,'Claim Review'!$C$6:$C$2005,"&lt;&gt;",'Claim Review'!$H$6:$H$2005,"Yes"))</f>
        <v/>
      </c>
      <c r="O161" s="11">
        <f>IF(A161="","",COUNTIFS('Claim Review'!$A$6:$A$2005,A161,'Claim Review'!$C$6:$C$2005,"&lt;&gt;"))</f>
        <v/>
      </c>
      <c r="P161" s="11">
        <f>IF(A161="","",COUNTIFS('Claim Review'!$A$6:$A$2005,A161,'Claim Review'!$C$6:$C$2005,"&lt;&gt;",'Claim Review'!$F$6:$F$2005,"Supported"))</f>
        <v/>
      </c>
      <c r="Q161" s="11">
        <f>IF(A161="","",O161-COUNTIFS('Claim Review'!$A$6:$A$2005,A161,'Claim Review'!$C$6:$C$2005,"&lt;&gt;",'Claim Review'!$K$6:$K$2005,"Yes"))</f>
        <v/>
      </c>
      <c r="R161" s="12">
        <f>IF(AND(A161&lt;&gt;"",COUNTIF($A$6:$A$205,A161)=1,COUNTIF('Test Cases'!$A$6:$A$205,B161)=1,I161&lt;&gt;"",J161&lt;&gt;"",OR(K161="Answered",K161="Clarification",K161="Abstained"),X161="Yes",T161&lt;&gt;"",O161&gt;0,Q161=0),P161/MAX(1,O161),"")</f>
        <v/>
      </c>
      <c r="S161" s="11">
        <f>IF(A161="","",IF(AND(J161="",K161=""),"Pending",IF(COUNTIF($A$6:$A$205,A161)&lt;&gt;1,"Duplicate Run ID",IF(COUNTIF('Test Cases'!$A$6:$A$205,B161)&lt;&gt;1,"Check Test ID",IF(K161="Error","FAIL",IF(OR(I161="",J161=""),"Needs evidence / answer",IF(NOT(OR(K161="Answered",K161="Clarification",K161="Abstained")),"Choose outcome",IF(X161&lt;&gt;"Yes","Confirm claim inventory",IF(AND(K161="Answered",O161=0),"Needs claims",IF(Q161&gt;0,"Needs claim review",IF(OR(NOT(OR(L161="Yes",L161="No")),T161=""),"Needs response review",IF(OR(L161="No",M161&gt;0,N161&gt;0,AND(ISNUMBER(R161),R161&lt;Dashboard!$B$5)),"FAIL","PASS"))))))))))))</f>
        <v/>
      </c>
      <c r="V161" s="11">
        <f>IF(B161="","",IFERROR(VLOOKUP(B161,'Test Cases'!$A$6:$J$205,7,FALSE),"Unknown Test ID"))</f>
        <v/>
      </c>
      <c r="W161" s="11">
        <f>IF(B161="","",IFERROR(VLOOKUP(B161,'Test Cases'!$A$6:$J$205,8,FALSE),"Unknown Test ID"))</f>
        <v/>
      </c>
    </row>
    <row r="162" spans="3:23">
      <c r="C162" s="11">
        <f>IF(B162="","",IFERROR(VLOOKUP(B162,'Test Cases'!$A$6:$J$205,2,FALSE),"Unknown Test ID"))</f>
        <v/>
      </c>
      <c r="D162" s="11">
        <f>IF(B162="","",IFERROR(VLOOKUP(B162,'Test Cases'!$A$6:$J$205,5,FALSE),"Unknown Test ID"))</f>
        <v/>
      </c>
      <c r="M162" s="11">
        <f>IF(A162="","",COUNTIFS('Claim Review'!$A$6:$A$2005,A162,'Claim Review'!$C$6:$C$2005,"&lt;&gt;",'Claim Review'!$G$6:$G$2005,"Wrong citation")+COUNTIFS('Claim Review'!$A$6:$A$2005,A162,'Claim Review'!$C$6:$C$2005,"&lt;&gt;",'Claim Review'!$G$6:$G$2005,"Missing citation"))</f>
        <v/>
      </c>
      <c r="N162" s="11">
        <f>IF(A162="","",COUNTIFS('Claim Review'!$A$6:$A$2005,A162,'Claim Review'!$C$6:$C$2005,"&lt;&gt;",'Claim Review'!$H$6:$H$2005,"Yes"))</f>
        <v/>
      </c>
      <c r="O162" s="11">
        <f>IF(A162="","",COUNTIFS('Claim Review'!$A$6:$A$2005,A162,'Claim Review'!$C$6:$C$2005,"&lt;&gt;"))</f>
        <v/>
      </c>
      <c r="P162" s="11">
        <f>IF(A162="","",COUNTIFS('Claim Review'!$A$6:$A$2005,A162,'Claim Review'!$C$6:$C$2005,"&lt;&gt;",'Claim Review'!$F$6:$F$2005,"Supported"))</f>
        <v/>
      </c>
      <c r="Q162" s="11">
        <f>IF(A162="","",O162-COUNTIFS('Claim Review'!$A$6:$A$2005,A162,'Claim Review'!$C$6:$C$2005,"&lt;&gt;",'Claim Review'!$K$6:$K$2005,"Yes"))</f>
        <v/>
      </c>
      <c r="R162" s="12">
        <f>IF(AND(A162&lt;&gt;"",COUNTIF($A$6:$A$205,A162)=1,COUNTIF('Test Cases'!$A$6:$A$205,B162)=1,I162&lt;&gt;"",J162&lt;&gt;"",OR(K162="Answered",K162="Clarification",K162="Abstained"),X162="Yes",T162&lt;&gt;"",O162&gt;0,Q162=0),P162/MAX(1,O162),"")</f>
        <v/>
      </c>
      <c r="S162" s="11">
        <f>IF(A162="","",IF(AND(J162="",K162=""),"Pending",IF(COUNTIF($A$6:$A$205,A162)&lt;&gt;1,"Duplicate Run ID",IF(COUNTIF('Test Cases'!$A$6:$A$205,B162)&lt;&gt;1,"Check Test ID",IF(K162="Error","FAIL",IF(OR(I162="",J162=""),"Needs evidence / answer",IF(NOT(OR(K162="Answered",K162="Clarification",K162="Abstained")),"Choose outcome",IF(X162&lt;&gt;"Yes","Confirm claim inventory",IF(AND(K162="Answered",O162=0),"Needs claims",IF(Q162&gt;0,"Needs claim review",IF(OR(NOT(OR(L162="Yes",L162="No")),T162=""),"Needs response review",IF(OR(L162="No",M162&gt;0,N162&gt;0,AND(ISNUMBER(R162),R162&lt;Dashboard!$B$5)),"FAIL","PASS"))))))))))))</f>
        <v/>
      </c>
      <c r="V162" s="11">
        <f>IF(B162="","",IFERROR(VLOOKUP(B162,'Test Cases'!$A$6:$J$205,7,FALSE),"Unknown Test ID"))</f>
        <v/>
      </c>
      <c r="W162" s="11">
        <f>IF(B162="","",IFERROR(VLOOKUP(B162,'Test Cases'!$A$6:$J$205,8,FALSE),"Unknown Test ID"))</f>
        <v/>
      </c>
    </row>
    <row r="163" spans="3:23">
      <c r="C163" s="11">
        <f>IF(B163="","",IFERROR(VLOOKUP(B163,'Test Cases'!$A$6:$J$205,2,FALSE),"Unknown Test ID"))</f>
        <v/>
      </c>
      <c r="D163" s="11">
        <f>IF(B163="","",IFERROR(VLOOKUP(B163,'Test Cases'!$A$6:$J$205,5,FALSE),"Unknown Test ID"))</f>
        <v/>
      </c>
      <c r="M163" s="11">
        <f>IF(A163="","",COUNTIFS('Claim Review'!$A$6:$A$2005,A163,'Claim Review'!$C$6:$C$2005,"&lt;&gt;",'Claim Review'!$G$6:$G$2005,"Wrong citation")+COUNTIFS('Claim Review'!$A$6:$A$2005,A163,'Claim Review'!$C$6:$C$2005,"&lt;&gt;",'Claim Review'!$G$6:$G$2005,"Missing citation"))</f>
        <v/>
      </c>
      <c r="N163" s="11">
        <f>IF(A163="","",COUNTIFS('Claim Review'!$A$6:$A$2005,A163,'Claim Review'!$C$6:$C$2005,"&lt;&gt;",'Claim Review'!$H$6:$H$2005,"Yes"))</f>
        <v/>
      </c>
      <c r="O163" s="11">
        <f>IF(A163="","",COUNTIFS('Claim Review'!$A$6:$A$2005,A163,'Claim Review'!$C$6:$C$2005,"&lt;&gt;"))</f>
        <v/>
      </c>
      <c r="P163" s="11">
        <f>IF(A163="","",COUNTIFS('Claim Review'!$A$6:$A$2005,A163,'Claim Review'!$C$6:$C$2005,"&lt;&gt;",'Claim Review'!$F$6:$F$2005,"Supported"))</f>
        <v/>
      </c>
      <c r="Q163" s="11">
        <f>IF(A163="","",O163-COUNTIFS('Claim Review'!$A$6:$A$2005,A163,'Claim Review'!$C$6:$C$2005,"&lt;&gt;",'Claim Review'!$K$6:$K$2005,"Yes"))</f>
        <v/>
      </c>
      <c r="R163" s="12">
        <f>IF(AND(A163&lt;&gt;"",COUNTIF($A$6:$A$205,A163)=1,COUNTIF('Test Cases'!$A$6:$A$205,B163)=1,I163&lt;&gt;"",J163&lt;&gt;"",OR(K163="Answered",K163="Clarification",K163="Abstained"),X163="Yes",T163&lt;&gt;"",O163&gt;0,Q163=0),P163/MAX(1,O163),"")</f>
        <v/>
      </c>
      <c r="S163" s="11">
        <f>IF(A163="","",IF(AND(J163="",K163=""),"Pending",IF(COUNTIF($A$6:$A$205,A163)&lt;&gt;1,"Duplicate Run ID",IF(COUNTIF('Test Cases'!$A$6:$A$205,B163)&lt;&gt;1,"Check Test ID",IF(K163="Error","FAIL",IF(OR(I163="",J163=""),"Needs evidence / answer",IF(NOT(OR(K163="Answered",K163="Clarification",K163="Abstained")),"Choose outcome",IF(X163&lt;&gt;"Yes","Confirm claim inventory",IF(AND(K163="Answered",O163=0),"Needs claims",IF(Q163&gt;0,"Needs claim review",IF(OR(NOT(OR(L163="Yes",L163="No")),T163=""),"Needs response review",IF(OR(L163="No",M163&gt;0,N163&gt;0,AND(ISNUMBER(R163),R163&lt;Dashboard!$B$5)),"FAIL","PASS"))))))))))))</f>
        <v/>
      </c>
      <c r="V163" s="11">
        <f>IF(B163="","",IFERROR(VLOOKUP(B163,'Test Cases'!$A$6:$J$205,7,FALSE),"Unknown Test ID"))</f>
        <v/>
      </c>
      <c r="W163" s="11">
        <f>IF(B163="","",IFERROR(VLOOKUP(B163,'Test Cases'!$A$6:$J$205,8,FALSE),"Unknown Test ID"))</f>
        <v/>
      </c>
    </row>
    <row r="164" spans="3:23">
      <c r="C164" s="11">
        <f>IF(B164="","",IFERROR(VLOOKUP(B164,'Test Cases'!$A$6:$J$205,2,FALSE),"Unknown Test ID"))</f>
        <v/>
      </c>
      <c r="D164" s="11">
        <f>IF(B164="","",IFERROR(VLOOKUP(B164,'Test Cases'!$A$6:$J$205,5,FALSE),"Unknown Test ID"))</f>
        <v/>
      </c>
      <c r="M164" s="11">
        <f>IF(A164="","",COUNTIFS('Claim Review'!$A$6:$A$2005,A164,'Claim Review'!$C$6:$C$2005,"&lt;&gt;",'Claim Review'!$G$6:$G$2005,"Wrong citation")+COUNTIFS('Claim Review'!$A$6:$A$2005,A164,'Claim Review'!$C$6:$C$2005,"&lt;&gt;",'Claim Review'!$G$6:$G$2005,"Missing citation"))</f>
        <v/>
      </c>
      <c r="N164" s="11">
        <f>IF(A164="","",COUNTIFS('Claim Review'!$A$6:$A$2005,A164,'Claim Review'!$C$6:$C$2005,"&lt;&gt;",'Claim Review'!$H$6:$H$2005,"Yes"))</f>
        <v/>
      </c>
      <c r="O164" s="11">
        <f>IF(A164="","",COUNTIFS('Claim Review'!$A$6:$A$2005,A164,'Claim Review'!$C$6:$C$2005,"&lt;&gt;"))</f>
        <v/>
      </c>
      <c r="P164" s="11">
        <f>IF(A164="","",COUNTIFS('Claim Review'!$A$6:$A$2005,A164,'Claim Review'!$C$6:$C$2005,"&lt;&gt;",'Claim Review'!$F$6:$F$2005,"Supported"))</f>
        <v/>
      </c>
      <c r="Q164" s="11">
        <f>IF(A164="","",O164-COUNTIFS('Claim Review'!$A$6:$A$2005,A164,'Claim Review'!$C$6:$C$2005,"&lt;&gt;",'Claim Review'!$K$6:$K$2005,"Yes"))</f>
        <v/>
      </c>
      <c r="R164" s="12">
        <f>IF(AND(A164&lt;&gt;"",COUNTIF($A$6:$A$205,A164)=1,COUNTIF('Test Cases'!$A$6:$A$205,B164)=1,I164&lt;&gt;"",J164&lt;&gt;"",OR(K164="Answered",K164="Clarification",K164="Abstained"),X164="Yes",T164&lt;&gt;"",O164&gt;0,Q164=0),P164/MAX(1,O164),"")</f>
        <v/>
      </c>
      <c r="S164" s="11">
        <f>IF(A164="","",IF(AND(J164="",K164=""),"Pending",IF(COUNTIF($A$6:$A$205,A164)&lt;&gt;1,"Duplicate Run ID",IF(COUNTIF('Test Cases'!$A$6:$A$205,B164)&lt;&gt;1,"Check Test ID",IF(K164="Error","FAIL",IF(OR(I164="",J164=""),"Needs evidence / answer",IF(NOT(OR(K164="Answered",K164="Clarification",K164="Abstained")),"Choose outcome",IF(X164&lt;&gt;"Yes","Confirm claim inventory",IF(AND(K164="Answered",O164=0),"Needs claims",IF(Q164&gt;0,"Needs claim review",IF(OR(NOT(OR(L164="Yes",L164="No")),T164=""),"Needs response review",IF(OR(L164="No",M164&gt;0,N164&gt;0,AND(ISNUMBER(R164),R164&lt;Dashboard!$B$5)),"FAIL","PASS"))))))))))))</f>
        <v/>
      </c>
      <c r="V164" s="11">
        <f>IF(B164="","",IFERROR(VLOOKUP(B164,'Test Cases'!$A$6:$J$205,7,FALSE),"Unknown Test ID"))</f>
        <v/>
      </c>
      <c r="W164" s="11">
        <f>IF(B164="","",IFERROR(VLOOKUP(B164,'Test Cases'!$A$6:$J$205,8,FALSE),"Unknown Test ID"))</f>
        <v/>
      </c>
    </row>
    <row r="165" spans="3:23">
      <c r="C165" s="11">
        <f>IF(B165="","",IFERROR(VLOOKUP(B165,'Test Cases'!$A$6:$J$205,2,FALSE),"Unknown Test ID"))</f>
        <v/>
      </c>
      <c r="D165" s="11">
        <f>IF(B165="","",IFERROR(VLOOKUP(B165,'Test Cases'!$A$6:$J$205,5,FALSE),"Unknown Test ID"))</f>
        <v/>
      </c>
      <c r="M165" s="11">
        <f>IF(A165="","",COUNTIFS('Claim Review'!$A$6:$A$2005,A165,'Claim Review'!$C$6:$C$2005,"&lt;&gt;",'Claim Review'!$G$6:$G$2005,"Wrong citation")+COUNTIFS('Claim Review'!$A$6:$A$2005,A165,'Claim Review'!$C$6:$C$2005,"&lt;&gt;",'Claim Review'!$G$6:$G$2005,"Missing citation"))</f>
        <v/>
      </c>
      <c r="N165" s="11">
        <f>IF(A165="","",COUNTIFS('Claim Review'!$A$6:$A$2005,A165,'Claim Review'!$C$6:$C$2005,"&lt;&gt;",'Claim Review'!$H$6:$H$2005,"Yes"))</f>
        <v/>
      </c>
      <c r="O165" s="11">
        <f>IF(A165="","",COUNTIFS('Claim Review'!$A$6:$A$2005,A165,'Claim Review'!$C$6:$C$2005,"&lt;&gt;"))</f>
        <v/>
      </c>
      <c r="P165" s="11">
        <f>IF(A165="","",COUNTIFS('Claim Review'!$A$6:$A$2005,A165,'Claim Review'!$C$6:$C$2005,"&lt;&gt;",'Claim Review'!$F$6:$F$2005,"Supported"))</f>
        <v/>
      </c>
      <c r="Q165" s="11">
        <f>IF(A165="","",O165-COUNTIFS('Claim Review'!$A$6:$A$2005,A165,'Claim Review'!$C$6:$C$2005,"&lt;&gt;",'Claim Review'!$K$6:$K$2005,"Yes"))</f>
        <v/>
      </c>
      <c r="R165" s="12">
        <f>IF(AND(A165&lt;&gt;"",COUNTIF($A$6:$A$205,A165)=1,COUNTIF('Test Cases'!$A$6:$A$205,B165)=1,I165&lt;&gt;"",J165&lt;&gt;"",OR(K165="Answered",K165="Clarification",K165="Abstained"),X165="Yes",T165&lt;&gt;"",O165&gt;0,Q165=0),P165/MAX(1,O165),"")</f>
        <v/>
      </c>
      <c r="S165" s="11">
        <f>IF(A165="","",IF(AND(J165="",K165=""),"Pending",IF(COUNTIF($A$6:$A$205,A165)&lt;&gt;1,"Duplicate Run ID",IF(COUNTIF('Test Cases'!$A$6:$A$205,B165)&lt;&gt;1,"Check Test ID",IF(K165="Error","FAIL",IF(OR(I165="",J165=""),"Needs evidence / answer",IF(NOT(OR(K165="Answered",K165="Clarification",K165="Abstained")),"Choose outcome",IF(X165&lt;&gt;"Yes","Confirm claim inventory",IF(AND(K165="Answered",O165=0),"Needs claims",IF(Q165&gt;0,"Needs claim review",IF(OR(NOT(OR(L165="Yes",L165="No")),T165=""),"Needs response review",IF(OR(L165="No",M165&gt;0,N165&gt;0,AND(ISNUMBER(R165),R165&lt;Dashboard!$B$5)),"FAIL","PASS"))))))))))))</f>
        <v/>
      </c>
      <c r="V165" s="11">
        <f>IF(B165="","",IFERROR(VLOOKUP(B165,'Test Cases'!$A$6:$J$205,7,FALSE),"Unknown Test ID"))</f>
        <v/>
      </c>
      <c r="W165" s="11">
        <f>IF(B165="","",IFERROR(VLOOKUP(B165,'Test Cases'!$A$6:$J$205,8,FALSE),"Unknown Test ID"))</f>
        <v/>
      </c>
    </row>
    <row r="166" spans="3:23">
      <c r="C166" s="11">
        <f>IF(B166="","",IFERROR(VLOOKUP(B166,'Test Cases'!$A$6:$J$205,2,FALSE),"Unknown Test ID"))</f>
        <v/>
      </c>
      <c r="D166" s="11">
        <f>IF(B166="","",IFERROR(VLOOKUP(B166,'Test Cases'!$A$6:$J$205,5,FALSE),"Unknown Test ID"))</f>
        <v/>
      </c>
      <c r="M166" s="11">
        <f>IF(A166="","",COUNTIFS('Claim Review'!$A$6:$A$2005,A166,'Claim Review'!$C$6:$C$2005,"&lt;&gt;",'Claim Review'!$G$6:$G$2005,"Wrong citation")+COUNTIFS('Claim Review'!$A$6:$A$2005,A166,'Claim Review'!$C$6:$C$2005,"&lt;&gt;",'Claim Review'!$G$6:$G$2005,"Missing citation"))</f>
        <v/>
      </c>
      <c r="N166" s="11">
        <f>IF(A166="","",COUNTIFS('Claim Review'!$A$6:$A$2005,A166,'Claim Review'!$C$6:$C$2005,"&lt;&gt;",'Claim Review'!$H$6:$H$2005,"Yes"))</f>
        <v/>
      </c>
      <c r="O166" s="11">
        <f>IF(A166="","",COUNTIFS('Claim Review'!$A$6:$A$2005,A166,'Claim Review'!$C$6:$C$2005,"&lt;&gt;"))</f>
        <v/>
      </c>
      <c r="P166" s="11">
        <f>IF(A166="","",COUNTIFS('Claim Review'!$A$6:$A$2005,A166,'Claim Review'!$C$6:$C$2005,"&lt;&gt;",'Claim Review'!$F$6:$F$2005,"Supported"))</f>
        <v/>
      </c>
      <c r="Q166" s="11">
        <f>IF(A166="","",O166-COUNTIFS('Claim Review'!$A$6:$A$2005,A166,'Claim Review'!$C$6:$C$2005,"&lt;&gt;",'Claim Review'!$K$6:$K$2005,"Yes"))</f>
        <v/>
      </c>
      <c r="R166" s="12">
        <f>IF(AND(A166&lt;&gt;"",COUNTIF($A$6:$A$205,A166)=1,COUNTIF('Test Cases'!$A$6:$A$205,B166)=1,I166&lt;&gt;"",J166&lt;&gt;"",OR(K166="Answered",K166="Clarification",K166="Abstained"),X166="Yes",T166&lt;&gt;"",O166&gt;0,Q166=0),P166/MAX(1,O166),"")</f>
        <v/>
      </c>
      <c r="S166" s="11">
        <f>IF(A166="","",IF(AND(J166="",K166=""),"Pending",IF(COUNTIF($A$6:$A$205,A166)&lt;&gt;1,"Duplicate Run ID",IF(COUNTIF('Test Cases'!$A$6:$A$205,B166)&lt;&gt;1,"Check Test ID",IF(K166="Error","FAIL",IF(OR(I166="",J166=""),"Needs evidence / answer",IF(NOT(OR(K166="Answered",K166="Clarification",K166="Abstained")),"Choose outcome",IF(X166&lt;&gt;"Yes","Confirm claim inventory",IF(AND(K166="Answered",O166=0),"Needs claims",IF(Q166&gt;0,"Needs claim review",IF(OR(NOT(OR(L166="Yes",L166="No")),T166=""),"Needs response review",IF(OR(L166="No",M166&gt;0,N166&gt;0,AND(ISNUMBER(R166),R166&lt;Dashboard!$B$5)),"FAIL","PASS"))))))))))))</f>
        <v/>
      </c>
      <c r="V166" s="11">
        <f>IF(B166="","",IFERROR(VLOOKUP(B166,'Test Cases'!$A$6:$J$205,7,FALSE),"Unknown Test ID"))</f>
        <v/>
      </c>
      <c r="W166" s="11">
        <f>IF(B166="","",IFERROR(VLOOKUP(B166,'Test Cases'!$A$6:$J$205,8,FALSE),"Unknown Test ID"))</f>
        <v/>
      </c>
    </row>
    <row r="167" spans="3:23">
      <c r="C167" s="11">
        <f>IF(B167="","",IFERROR(VLOOKUP(B167,'Test Cases'!$A$6:$J$205,2,FALSE),"Unknown Test ID"))</f>
        <v/>
      </c>
      <c r="D167" s="11">
        <f>IF(B167="","",IFERROR(VLOOKUP(B167,'Test Cases'!$A$6:$J$205,5,FALSE),"Unknown Test ID"))</f>
        <v/>
      </c>
      <c r="M167" s="11">
        <f>IF(A167="","",COUNTIFS('Claim Review'!$A$6:$A$2005,A167,'Claim Review'!$C$6:$C$2005,"&lt;&gt;",'Claim Review'!$G$6:$G$2005,"Wrong citation")+COUNTIFS('Claim Review'!$A$6:$A$2005,A167,'Claim Review'!$C$6:$C$2005,"&lt;&gt;",'Claim Review'!$G$6:$G$2005,"Missing citation"))</f>
        <v/>
      </c>
      <c r="N167" s="11">
        <f>IF(A167="","",COUNTIFS('Claim Review'!$A$6:$A$2005,A167,'Claim Review'!$C$6:$C$2005,"&lt;&gt;",'Claim Review'!$H$6:$H$2005,"Yes"))</f>
        <v/>
      </c>
      <c r="O167" s="11">
        <f>IF(A167="","",COUNTIFS('Claim Review'!$A$6:$A$2005,A167,'Claim Review'!$C$6:$C$2005,"&lt;&gt;"))</f>
        <v/>
      </c>
      <c r="P167" s="11">
        <f>IF(A167="","",COUNTIFS('Claim Review'!$A$6:$A$2005,A167,'Claim Review'!$C$6:$C$2005,"&lt;&gt;",'Claim Review'!$F$6:$F$2005,"Supported"))</f>
        <v/>
      </c>
      <c r="Q167" s="11">
        <f>IF(A167="","",O167-COUNTIFS('Claim Review'!$A$6:$A$2005,A167,'Claim Review'!$C$6:$C$2005,"&lt;&gt;",'Claim Review'!$K$6:$K$2005,"Yes"))</f>
        <v/>
      </c>
      <c r="R167" s="12">
        <f>IF(AND(A167&lt;&gt;"",COUNTIF($A$6:$A$205,A167)=1,COUNTIF('Test Cases'!$A$6:$A$205,B167)=1,I167&lt;&gt;"",J167&lt;&gt;"",OR(K167="Answered",K167="Clarification",K167="Abstained"),X167="Yes",T167&lt;&gt;"",O167&gt;0,Q167=0),P167/MAX(1,O167),"")</f>
        <v/>
      </c>
      <c r="S167" s="11">
        <f>IF(A167="","",IF(AND(J167="",K167=""),"Pending",IF(COUNTIF($A$6:$A$205,A167)&lt;&gt;1,"Duplicate Run ID",IF(COUNTIF('Test Cases'!$A$6:$A$205,B167)&lt;&gt;1,"Check Test ID",IF(K167="Error","FAIL",IF(OR(I167="",J167=""),"Needs evidence / answer",IF(NOT(OR(K167="Answered",K167="Clarification",K167="Abstained")),"Choose outcome",IF(X167&lt;&gt;"Yes","Confirm claim inventory",IF(AND(K167="Answered",O167=0),"Needs claims",IF(Q167&gt;0,"Needs claim review",IF(OR(NOT(OR(L167="Yes",L167="No")),T167=""),"Needs response review",IF(OR(L167="No",M167&gt;0,N167&gt;0,AND(ISNUMBER(R167),R167&lt;Dashboard!$B$5)),"FAIL","PASS"))))))))))))</f>
        <v/>
      </c>
      <c r="V167" s="11">
        <f>IF(B167="","",IFERROR(VLOOKUP(B167,'Test Cases'!$A$6:$J$205,7,FALSE),"Unknown Test ID"))</f>
        <v/>
      </c>
      <c r="W167" s="11">
        <f>IF(B167="","",IFERROR(VLOOKUP(B167,'Test Cases'!$A$6:$J$205,8,FALSE),"Unknown Test ID"))</f>
        <v/>
      </c>
    </row>
    <row r="168" spans="3:23">
      <c r="C168" s="11">
        <f>IF(B168="","",IFERROR(VLOOKUP(B168,'Test Cases'!$A$6:$J$205,2,FALSE),"Unknown Test ID"))</f>
        <v/>
      </c>
      <c r="D168" s="11">
        <f>IF(B168="","",IFERROR(VLOOKUP(B168,'Test Cases'!$A$6:$J$205,5,FALSE),"Unknown Test ID"))</f>
        <v/>
      </c>
      <c r="M168" s="11">
        <f>IF(A168="","",COUNTIFS('Claim Review'!$A$6:$A$2005,A168,'Claim Review'!$C$6:$C$2005,"&lt;&gt;",'Claim Review'!$G$6:$G$2005,"Wrong citation")+COUNTIFS('Claim Review'!$A$6:$A$2005,A168,'Claim Review'!$C$6:$C$2005,"&lt;&gt;",'Claim Review'!$G$6:$G$2005,"Missing citation"))</f>
        <v/>
      </c>
      <c r="N168" s="11">
        <f>IF(A168="","",COUNTIFS('Claim Review'!$A$6:$A$2005,A168,'Claim Review'!$C$6:$C$2005,"&lt;&gt;",'Claim Review'!$H$6:$H$2005,"Yes"))</f>
        <v/>
      </c>
      <c r="O168" s="11">
        <f>IF(A168="","",COUNTIFS('Claim Review'!$A$6:$A$2005,A168,'Claim Review'!$C$6:$C$2005,"&lt;&gt;"))</f>
        <v/>
      </c>
      <c r="P168" s="11">
        <f>IF(A168="","",COUNTIFS('Claim Review'!$A$6:$A$2005,A168,'Claim Review'!$C$6:$C$2005,"&lt;&gt;",'Claim Review'!$F$6:$F$2005,"Supported"))</f>
        <v/>
      </c>
      <c r="Q168" s="11">
        <f>IF(A168="","",O168-COUNTIFS('Claim Review'!$A$6:$A$2005,A168,'Claim Review'!$C$6:$C$2005,"&lt;&gt;",'Claim Review'!$K$6:$K$2005,"Yes"))</f>
        <v/>
      </c>
      <c r="R168" s="12">
        <f>IF(AND(A168&lt;&gt;"",COUNTIF($A$6:$A$205,A168)=1,COUNTIF('Test Cases'!$A$6:$A$205,B168)=1,I168&lt;&gt;"",J168&lt;&gt;"",OR(K168="Answered",K168="Clarification",K168="Abstained"),X168="Yes",T168&lt;&gt;"",O168&gt;0,Q168=0),P168/MAX(1,O168),"")</f>
        <v/>
      </c>
      <c r="S168" s="11">
        <f>IF(A168="","",IF(AND(J168="",K168=""),"Pending",IF(COUNTIF($A$6:$A$205,A168)&lt;&gt;1,"Duplicate Run ID",IF(COUNTIF('Test Cases'!$A$6:$A$205,B168)&lt;&gt;1,"Check Test ID",IF(K168="Error","FAIL",IF(OR(I168="",J168=""),"Needs evidence / answer",IF(NOT(OR(K168="Answered",K168="Clarification",K168="Abstained")),"Choose outcome",IF(X168&lt;&gt;"Yes","Confirm claim inventory",IF(AND(K168="Answered",O168=0),"Needs claims",IF(Q168&gt;0,"Needs claim review",IF(OR(NOT(OR(L168="Yes",L168="No")),T168=""),"Needs response review",IF(OR(L168="No",M168&gt;0,N168&gt;0,AND(ISNUMBER(R168),R168&lt;Dashboard!$B$5)),"FAIL","PASS"))))))))))))</f>
        <v/>
      </c>
      <c r="V168" s="11">
        <f>IF(B168="","",IFERROR(VLOOKUP(B168,'Test Cases'!$A$6:$J$205,7,FALSE),"Unknown Test ID"))</f>
        <v/>
      </c>
      <c r="W168" s="11">
        <f>IF(B168="","",IFERROR(VLOOKUP(B168,'Test Cases'!$A$6:$J$205,8,FALSE),"Unknown Test ID"))</f>
        <v/>
      </c>
    </row>
    <row r="169" spans="3:23">
      <c r="C169" s="11">
        <f>IF(B169="","",IFERROR(VLOOKUP(B169,'Test Cases'!$A$6:$J$205,2,FALSE),"Unknown Test ID"))</f>
        <v/>
      </c>
      <c r="D169" s="11">
        <f>IF(B169="","",IFERROR(VLOOKUP(B169,'Test Cases'!$A$6:$J$205,5,FALSE),"Unknown Test ID"))</f>
        <v/>
      </c>
      <c r="M169" s="11">
        <f>IF(A169="","",COUNTIFS('Claim Review'!$A$6:$A$2005,A169,'Claim Review'!$C$6:$C$2005,"&lt;&gt;",'Claim Review'!$G$6:$G$2005,"Wrong citation")+COUNTIFS('Claim Review'!$A$6:$A$2005,A169,'Claim Review'!$C$6:$C$2005,"&lt;&gt;",'Claim Review'!$G$6:$G$2005,"Missing citation"))</f>
        <v/>
      </c>
      <c r="N169" s="11">
        <f>IF(A169="","",COUNTIFS('Claim Review'!$A$6:$A$2005,A169,'Claim Review'!$C$6:$C$2005,"&lt;&gt;",'Claim Review'!$H$6:$H$2005,"Yes"))</f>
        <v/>
      </c>
      <c r="O169" s="11">
        <f>IF(A169="","",COUNTIFS('Claim Review'!$A$6:$A$2005,A169,'Claim Review'!$C$6:$C$2005,"&lt;&gt;"))</f>
        <v/>
      </c>
      <c r="P169" s="11">
        <f>IF(A169="","",COUNTIFS('Claim Review'!$A$6:$A$2005,A169,'Claim Review'!$C$6:$C$2005,"&lt;&gt;",'Claim Review'!$F$6:$F$2005,"Supported"))</f>
        <v/>
      </c>
      <c r="Q169" s="11">
        <f>IF(A169="","",O169-COUNTIFS('Claim Review'!$A$6:$A$2005,A169,'Claim Review'!$C$6:$C$2005,"&lt;&gt;",'Claim Review'!$K$6:$K$2005,"Yes"))</f>
        <v/>
      </c>
      <c r="R169" s="12">
        <f>IF(AND(A169&lt;&gt;"",COUNTIF($A$6:$A$205,A169)=1,COUNTIF('Test Cases'!$A$6:$A$205,B169)=1,I169&lt;&gt;"",J169&lt;&gt;"",OR(K169="Answered",K169="Clarification",K169="Abstained"),X169="Yes",T169&lt;&gt;"",O169&gt;0,Q169=0),P169/MAX(1,O169),"")</f>
        <v/>
      </c>
      <c r="S169" s="11">
        <f>IF(A169="","",IF(AND(J169="",K169=""),"Pending",IF(COUNTIF($A$6:$A$205,A169)&lt;&gt;1,"Duplicate Run ID",IF(COUNTIF('Test Cases'!$A$6:$A$205,B169)&lt;&gt;1,"Check Test ID",IF(K169="Error","FAIL",IF(OR(I169="",J169=""),"Needs evidence / answer",IF(NOT(OR(K169="Answered",K169="Clarification",K169="Abstained")),"Choose outcome",IF(X169&lt;&gt;"Yes","Confirm claim inventory",IF(AND(K169="Answered",O169=0),"Needs claims",IF(Q169&gt;0,"Needs claim review",IF(OR(NOT(OR(L169="Yes",L169="No")),T169=""),"Needs response review",IF(OR(L169="No",M169&gt;0,N169&gt;0,AND(ISNUMBER(R169),R169&lt;Dashboard!$B$5)),"FAIL","PASS"))))))))))))</f>
        <v/>
      </c>
      <c r="V169" s="11">
        <f>IF(B169="","",IFERROR(VLOOKUP(B169,'Test Cases'!$A$6:$J$205,7,FALSE),"Unknown Test ID"))</f>
        <v/>
      </c>
      <c r="W169" s="11">
        <f>IF(B169="","",IFERROR(VLOOKUP(B169,'Test Cases'!$A$6:$J$205,8,FALSE),"Unknown Test ID"))</f>
        <v/>
      </c>
    </row>
    <row r="170" spans="3:23">
      <c r="C170" s="11">
        <f>IF(B170="","",IFERROR(VLOOKUP(B170,'Test Cases'!$A$6:$J$205,2,FALSE),"Unknown Test ID"))</f>
        <v/>
      </c>
      <c r="D170" s="11">
        <f>IF(B170="","",IFERROR(VLOOKUP(B170,'Test Cases'!$A$6:$J$205,5,FALSE),"Unknown Test ID"))</f>
        <v/>
      </c>
      <c r="M170" s="11">
        <f>IF(A170="","",COUNTIFS('Claim Review'!$A$6:$A$2005,A170,'Claim Review'!$C$6:$C$2005,"&lt;&gt;",'Claim Review'!$G$6:$G$2005,"Wrong citation")+COUNTIFS('Claim Review'!$A$6:$A$2005,A170,'Claim Review'!$C$6:$C$2005,"&lt;&gt;",'Claim Review'!$G$6:$G$2005,"Missing citation"))</f>
        <v/>
      </c>
      <c r="N170" s="11">
        <f>IF(A170="","",COUNTIFS('Claim Review'!$A$6:$A$2005,A170,'Claim Review'!$C$6:$C$2005,"&lt;&gt;",'Claim Review'!$H$6:$H$2005,"Yes"))</f>
        <v/>
      </c>
      <c r="O170" s="11">
        <f>IF(A170="","",COUNTIFS('Claim Review'!$A$6:$A$2005,A170,'Claim Review'!$C$6:$C$2005,"&lt;&gt;"))</f>
        <v/>
      </c>
      <c r="P170" s="11">
        <f>IF(A170="","",COUNTIFS('Claim Review'!$A$6:$A$2005,A170,'Claim Review'!$C$6:$C$2005,"&lt;&gt;",'Claim Review'!$F$6:$F$2005,"Supported"))</f>
        <v/>
      </c>
      <c r="Q170" s="11">
        <f>IF(A170="","",O170-COUNTIFS('Claim Review'!$A$6:$A$2005,A170,'Claim Review'!$C$6:$C$2005,"&lt;&gt;",'Claim Review'!$K$6:$K$2005,"Yes"))</f>
        <v/>
      </c>
      <c r="R170" s="12">
        <f>IF(AND(A170&lt;&gt;"",COUNTIF($A$6:$A$205,A170)=1,COUNTIF('Test Cases'!$A$6:$A$205,B170)=1,I170&lt;&gt;"",J170&lt;&gt;"",OR(K170="Answered",K170="Clarification",K170="Abstained"),X170="Yes",T170&lt;&gt;"",O170&gt;0,Q170=0),P170/MAX(1,O170),"")</f>
        <v/>
      </c>
      <c r="S170" s="11">
        <f>IF(A170="","",IF(AND(J170="",K170=""),"Pending",IF(COUNTIF($A$6:$A$205,A170)&lt;&gt;1,"Duplicate Run ID",IF(COUNTIF('Test Cases'!$A$6:$A$205,B170)&lt;&gt;1,"Check Test ID",IF(K170="Error","FAIL",IF(OR(I170="",J170=""),"Needs evidence / answer",IF(NOT(OR(K170="Answered",K170="Clarification",K170="Abstained")),"Choose outcome",IF(X170&lt;&gt;"Yes","Confirm claim inventory",IF(AND(K170="Answered",O170=0),"Needs claims",IF(Q170&gt;0,"Needs claim review",IF(OR(NOT(OR(L170="Yes",L170="No")),T170=""),"Needs response review",IF(OR(L170="No",M170&gt;0,N170&gt;0,AND(ISNUMBER(R170),R170&lt;Dashboard!$B$5)),"FAIL","PASS"))))))))))))</f>
        <v/>
      </c>
      <c r="V170" s="11">
        <f>IF(B170="","",IFERROR(VLOOKUP(B170,'Test Cases'!$A$6:$J$205,7,FALSE),"Unknown Test ID"))</f>
        <v/>
      </c>
      <c r="W170" s="11">
        <f>IF(B170="","",IFERROR(VLOOKUP(B170,'Test Cases'!$A$6:$J$205,8,FALSE),"Unknown Test ID"))</f>
        <v/>
      </c>
    </row>
    <row r="171" spans="3:23">
      <c r="C171" s="11">
        <f>IF(B171="","",IFERROR(VLOOKUP(B171,'Test Cases'!$A$6:$J$205,2,FALSE),"Unknown Test ID"))</f>
        <v/>
      </c>
      <c r="D171" s="11">
        <f>IF(B171="","",IFERROR(VLOOKUP(B171,'Test Cases'!$A$6:$J$205,5,FALSE),"Unknown Test ID"))</f>
        <v/>
      </c>
      <c r="M171" s="11">
        <f>IF(A171="","",COUNTIFS('Claim Review'!$A$6:$A$2005,A171,'Claim Review'!$C$6:$C$2005,"&lt;&gt;",'Claim Review'!$G$6:$G$2005,"Wrong citation")+COUNTIFS('Claim Review'!$A$6:$A$2005,A171,'Claim Review'!$C$6:$C$2005,"&lt;&gt;",'Claim Review'!$G$6:$G$2005,"Missing citation"))</f>
        <v/>
      </c>
      <c r="N171" s="11">
        <f>IF(A171="","",COUNTIFS('Claim Review'!$A$6:$A$2005,A171,'Claim Review'!$C$6:$C$2005,"&lt;&gt;",'Claim Review'!$H$6:$H$2005,"Yes"))</f>
        <v/>
      </c>
      <c r="O171" s="11">
        <f>IF(A171="","",COUNTIFS('Claim Review'!$A$6:$A$2005,A171,'Claim Review'!$C$6:$C$2005,"&lt;&gt;"))</f>
        <v/>
      </c>
      <c r="P171" s="11">
        <f>IF(A171="","",COUNTIFS('Claim Review'!$A$6:$A$2005,A171,'Claim Review'!$C$6:$C$2005,"&lt;&gt;",'Claim Review'!$F$6:$F$2005,"Supported"))</f>
        <v/>
      </c>
      <c r="Q171" s="11">
        <f>IF(A171="","",O171-COUNTIFS('Claim Review'!$A$6:$A$2005,A171,'Claim Review'!$C$6:$C$2005,"&lt;&gt;",'Claim Review'!$K$6:$K$2005,"Yes"))</f>
        <v/>
      </c>
      <c r="R171" s="12">
        <f>IF(AND(A171&lt;&gt;"",COUNTIF($A$6:$A$205,A171)=1,COUNTIF('Test Cases'!$A$6:$A$205,B171)=1,I171&lt;&gt;"",J171&lt;&gt;"",OR(K171="Answered",K171="Clarification",K171="Abstained"),X171="Yes",T171&lt;&gt;"",O171&gt;0,Q171=0),P171/MAX(1,O171),"")</f>
        <v/>
      </c>
      <c r="S171" s="11">
        <f>IF(A171="","",IF(AND(J171="",K171=""),"Pending",IF(COUNTIF($A$6:$A$205,A171)&lt;&gt;1,"Duplicate Run ID",IF(COUNTIF('Test Cases'!$A$6:$A$205,B171)&lt;&gt;1,"Check Test ID",IF(K171="Error","FAIL",IF(OR(I171="",J171=""),"Needs evidence / answer",IF(NOT(OR(K171="Answered",K171="Clarification",K171="Abstained")),"Choose outcome",IF(X171&lt;&gt;"Yes","Confirm claim inventory",IF(AND(K171="Answered",O171=0),"Needs claims",IF(Q171&gt;0,"Needs claim review",IF(OR(NOT(OR(L171="Yes",L171="No")),T171=""),"Needs response review",IF(OR(L171="No",M171&gt;0,N171&gt;0,AND(ISNUMBER(R171),R171&lt;Dashboard!$B$5)),"FAIL","PASS"))))))))))))</f>
        <v/>
      </c>
      <c r="V171" s="11">
        <f>IF(B171="","",IFERROR(VLOOKUP(B171,'Test Cases'!$A$6:$J$205,7,FALSE),"Unknown Test ID"))</f>
        <v/>
      </c>
      <c r="W171" s="11">
        <f>IF(B171="","",IFERROR(VLOOKUP(B171,'Test Cases'!$A$6:$J$205,8,FALSE),"Unknown Test ID"))</f>
        <v/>
      </c>
    </row>
    <row r="172" spans="3:23">
      <c r="C172" s="11">
        <f>IF(B172="","",IFERROR(VLOOKUP(B172,'Test Cases'!$A$6:$J$205,2,FALSE),"Unknown Test ID"))</f>
        <v/>
      </c>
      <c r="D172" s="11">
        <f>IF(B172="","",IFERROR(VLOOKUP(B172,'Test Cases'!$A$6:$J$205,5,FALSE),"Unknown Test ID"))</f>
        <v/>
      </c>
      <c r="M172" s="11">
        <f>IF(A172="","",COUNTIFS('Claim Review'!$A$6:$A$2005,A172,'Claim Review'!$C$6:$C$2005,"&lt;&gt;",'Claim Review'!$G$6:$G$2005,"Wrong citation")+COUNTIFS('Claim Review'!$A$6:$A$2005,A172,'Claim Review'!$C$6:$C$2005,"&lt;&gt;",'Claim Review'!$G$6:$G$2005,"Missing citation"))</f>
        <v/>
      </c>
      <c r="N172" s="11">
        <f>IF(A172="","",COUNTIFS('Claim Review'!$A$6:$A$2005,A172,'Claim Review'!$C$6:$C$2005,"&lt;&gt;",'Claim Review'!$H$6:$H$2005,"Yes"))</f>
        <v/>
      </c>
      <c r="O172" s="11">
        <f>IF(A172="","",COUNTIFS('Claim Review'!$A$6:$A$2005,A172,'Claim Review'!$C$6:$C$2005,"&lt;&gt;"))</f>
        <v/>
      </c>
      <c r="P172" s="11">
        <f>IF(A172="","",COUNTIFS('Claim Review'!$A$6:$A$2005,A172,'Claim Review'!$C$6:$C$2005,"&lt;&gt;",'Claim Review'!$F$6:$F$2005,"Supported"))</f>
        <v/>
      </c>
      <c r="Q172" s="11">
        <f>IF(A172="","",O172-COUNTIFS('Claim Review'!$A$6:$A$2005,A172,'Claim Review'!$C$6:$C$2005,"&lt;&gt;",'Claim Review'!$K$6:$K$2005,"Yes"))</f>
        <v/>
      </c>
      <c r="R172" s="12">
        <f>IF(AND(A172&lt;&gt;"",COUNTIF($A$6:$A$205,A172)=1,COUNTIF('Test Cases'!$A$6:$A$205,B172)=1,I172&lt;&gt;"",J172&lt;&gt;"",OR(K172="Answered",K172="Clarification",K172="Abstained"),X172="Yes",T172&lt;&gt;"",O172&gt;0,Q172=0),P172/MAX(1,O172),"")</f>
        <v/>
      </c>
      <c r="S172" s="11">
        <f>IF(A172="","",IF(AND(J172="",K172=""),"Pending",IF(COUNTIF($A$6:$A$205,A172)&lt;&gt;1,"Duplicate Run ID",IF(COUNTIF('Test Cases'!$A$6:$A$205,B172)&lt;&gt;1,"Check Test ID",IF(K172="Error","FAIL",IF(OR(I172="",J172=""),"Needs evidence / answer",IF(NOT(OR(K172="Answered",K172="Clarification",K172="Abstained")),"Choose outcome",IF(X172&lt;&gt;"Yes","Confirm claim inventory",IF(AND(K172="Answered",O172=0),"Needs claims",IF(Q172&gt;0,"Needs claim review",IF(OR(NOT(OR(L172="Yes",L172="No")),T172=""),"Needs response review",IF(OR(L172="No",M172&gt;0,N172&gt;0,AND(ISNUMBER(R172),R172&lt;Dashboard!$B$5)),"FAIL","PASS"))))))))))))</f>
        <v/>
      </c>
      <c r="V172" s="11">
        <f>IF(B172="","",IFERROR(VLOOKUP(B172,'Test Cases'!$A$6:$J$205,7,FALSE),"Unknown Test ID"))</f>
        <v/>
      </c>
      <c r="W172" s="11">
        <f>IF(B172="","",IFERROR(VLOOKUP(B172,'Test Cases'!$A$6:$J$205,8,FALSE),"Unknown Test ID"))</f>
        <v/>
      </c>
    </row>
    <row r="173" spans="3:23">
      <c r="C173" s="11">
        <f>IF(B173="","",IFERROR(VLOOKUP(B173,'Test Cases'!$A$6:$J$205,2,FALSE),"Unknown Test ID"))</f>
        <v/>
      </c>
      <c r="D173" s="11">
        <f>IF(B173="","",IFERROR(VLOOKUP(B173,'Test Cases'!$A$6:$J$205,5,FALSE),"Unknown Test ID"))</f>
        <v/>
      </c>
      <c r="M173" s="11">
        <f>IF(A173="","",COUNTIFS('Claim Review'!$A$6:$A$2005,A173,'Claim Review'!$C$6:$C$2005,"&lt;&gt;",'Claim Review'!$G$6:$G$2005,"Wrong citation")+COUNTIFS('Claim Review'!$A$6:$A$2005,A173,'Claim Review'!$C$6:$C$2005,"&lt;&gt;",'Claim Review'!$G$6:$G$2005,"Missing citation"))</f>
        <v/>
      </c>
      <c r="N173" s="11">
        <f>IF(A173="","",COUNTIFS('Claim Review'!$A$6:$A$2005,A173,'Claim Review'!$C$6:$C$2005,"&lt;&gt;",'Claim Review'!$H$6:$H$2005,"Yes"))</f>
        <v/>
      </c>
      <c r="O173" s="11">
        <f>IF(A173="","",COUNTIFS('Claim Review'!$A$6:$A$2005,A173,'Claim Review'!$C$6:$C$2005,"&lt;&gt;"))</f>
        <v/>
      </c>
      <c r="P173" s="11">
        <f>IF(A173="","",COUNTIFS('Claim Review'!$A$6:$A$2005,A173,'Claim Review'!$C$6:$C$2005,"&lt;&gt;",'Claim Review'!$F$6:$F$2005,"Supported"))</f>
        <v/>
      </c>
      <c r="Q173" s="11">
        <f>IF(A173="","",O173-COUNTIFS('Claim Review'!$A$6:$A$2005,A173,'Claim Review'!$C$6:$C$2005,"&lt;&gt;",'Claim Review'!$K$6:$K$2005,"Yes"))</f>
        <v/>
      </c>
      <c r="R173" s="12">
        <f>IF(AND(A173&lt;&gt;"",COUNTIF($A$6:$A$205,A173)=1,COUNTIF('Test Cases'!$A$6:$A$205,B173)=1,I173&lt;&gt;"",J173&lt;&gt;"",OR(K173="Answered",K173="Clarification",K173="Abstained"),X173="Yes",T173&lt;&gt;"",O173&gt;0,Q173=0),P173/MAX(1,O173),"")</f>
        <v/>
      </c>
      <c r="S173" s="11">
        <f>IF(A173="","",IF(AND(J173="",K173=""),"Pending",IF(COUNTIF($A$6:$A$205,A173)&lt;&gt;1,"Duplicate Run ID",IF(COUNTIF('Test Cases'!$A$6:$A$205,B173)&lt;&gt;1,"Check Test ID",IF(K173="Error","FAIL",IF(OR(I173="",J173=""),"Needs evidence / answer",IF(NOT(OR(K173="Answered",K173="Clarification",K173="Abstained")),"Choose outcome",IF(X173&lt;&gt;"Yes","Confirm claim inventory",IF(AND(K173="Answered",O173=0),"Needs claims",IF(Q173&gt;0,"Needs claim review",IF(OR(NOT(OR(L173="Yes",L173="No")),T173=""),"Needs response review",IF(OR(L173="No",M173&gt;0,N173&gt;0,AND(ISNUMBER(R173),R173&lt;Dashboard!$B$5)),"FAIL","PASS"))))))))))))</f>
        <v/>
      </c>
      <c r="V173" s="11">
        <f>IF(B173="","",IFERROR(VLOOKUP(B173,'Test Cases'!$A$6:$J$205,7,FALSE),"Unknown Test ID"))</f>
        <v/>
      </c>
      <c r="W173" s="11">
        <f>IF(B173="","",IFERROR(VLOOKUP(B173,'Test Cases'!$A$6:$J$205,8,FALSE),"Unknown Test ID"))</f>
        <v/>
      </c>
    </row>
    <row r="174" spans="3:23">
      <c r="C174" s="11">
        <f>IF(B174="","",IFERROR(VLOOKUP(B174,'Test Cases'!$A$6:$J$205,2,FALSE),"Unknown Test ID"))</f>
        <v/>
      </c>
      <c r="D174" s="11">
        <f>IF(B174="","",IFERROR(VLOOKUP(B174,'Test Cases'!$A$6:$J$205,5,FALSE),"Unknown Test ID"))</f>
        <v/>
      </c>
      <c r="M174" s="11">
        <f>IF(A174="","",COUNTIFS('Claim Review'!$A$6:$A$2005,A174,'Claim Review'!$C$6:$C$2005,"&lt;&gt;",'Claim Review'!$G$6:$G$2005,"Wrong citation")+COUNTIFS('Claim Review'!$A$6:$A$2005,A174,'Claim Review'!$C$6:$C$2005,"&lt;&gt;",'Claim Review'!$G$6:$G$2005,"Missing citation"))</f>
        <v/>
      </c>
      <c r="N174" s="11">
        <f>IF(A174="","",COUNTIFS('Claim Review'!$A$6:$A$2005,A174,'Claim Review'!$C$6:$C$2005,"&lt;&gt;",'Claim Review'!$H$6:$H$2005,"Yes"))</f>
        <v/>
      </c>
      <c r="O174" s="11">
        <f>IF(A174="","",COUNTIFS('Claim Review'!$A$6:$A$2005,A174,'Claim Review'!$C$6:$C$2005,"&lt;&gt;"))</f>
        <v/>
      </c>
      <c r="P174" s="11">
        <f>IF(A174="","",COUNTIFS('Claim Review'!$A$6:$A$2005,A174,'Claim Review'!$C$6:$C$2005,"&lt;&gt;",'Claim Review'!$F$6:$F$2005,"Supported"))</f>
        <v/>
      </c>
      <c r="Q174" s="11">
        <f>IF(A174="","",O174-COUNTIFS('Claim Review'!$A$6:$A$2005,A174,'Claim Review'!$C$6:$C$2005,"&lt;&gt;",'Claim Review'!$K$6:$K$2005,"Yes"))</f>
        <v/>
      </c>
      <c r="R174" s="12">
        <f>IF(AND(A174&lt;&gt;"",COUNTIF($A$6:$A$205,A174)=1,COUNTIF('Test Cases'!$A$6:$A$205,B174)=1,I174&lt;&gt;"",J174&lt;&gt;"",OR(K174="Answered",K174="Clarification",K174="Abstained"),X174="Yes",T174&lt;&gt;"",O174&gt;0,Q174=0),P174/MAX(1,O174),"")</f>
        <v/>
      </c>
      <c r="S174" s="11">
        <f>IF(A174="","",IF(AND(J174="",K174=""),"Pending",IF(COUNTIF($A$6:$A$205,A174)&lt;&gt;1,"Duplicate Run ID",IF(COUNTIF('Test Cases'!$A$6:$A$205,B174)&lt;&gt;1,"Check Test ID",IF(K174="Error","FAIL",IF(OR(I174="",J174=""),"Needs evidence / answer",IF(NOT(OR(K174="Answered",K174="Clarification",K174="Abstained")),"Choose outcome",IF(X174&lt;&gt;"Yes","Confirm claim inventory",IF(AND(K174="Answered",O174=0),"Needs claims",IF(Q174&gt;0,"Needs claim review",IF(OR(NOT(OR(L174="Yes",L174="No")),T174=""),"Needs response review",IF(OR(L174="No",M174&gt;0,N174&gt;0,AND(ISNUMBER(R174),R174&lt;Dashboard!$B$5)),"FAIL","PASS"))))))))))))</f>
        <v/>
      </c>
      <c r="V174" s="11">
        <f>IF(B174="","",IFERROR(VLOOKUP(B174,'Test Cases'!$A$6:$J$205,7,FALSE),"Unknown Test ID"))</f>
        <v/>
      </c>
      <c r="W174" s="11">
        <f>IF(B174="","",IFERROR(VLOOKUP(B174,'Test Cases'!$A$6:$J$205,8,FALSE),"Unknown Test ID"))</f>
        <v/>
      </c>
    </row>
    <row r="175" spans="3:23">
      <c r="C175" s="11">
        <f>IF(B175="","",IFERROR(VLOOKUP(B175,'Test Cases'!$A$6:$J$205,2,FALSE),"Unknown Test ID"))</f>
        <v/>
      </c>
      <c r="D175" s="11">
        <f>IF(B175="","",IFERROR(VLOOKUP(B175,'Test Cases'!$A$6:$J$205,5,FALSE),"Unknown Test ID"))</f>
        <v/>
      </c>
      <c r="M175" s="11">
        <f>IF(A175="","",COUNTIFS('Claim Review'!$A$6:$A$2005,A175,'Claim Review'!$C$6:$C$2005,"&lt;&gt;",'Claim Review'!$G$6:$G$2005,"Wrong citation")+COUNTIFS('Claim Review'!$A$6:$A$2005,A175,'Claim Review'!$C$6:$C$2005,"&lt;&gt;",'Claim Review'!$G$6:$G$2005,"Missing citation"))</f>
        <v/>
      </c>
      <c r="N175" s="11">
        <f>IF(A175="","",COUNTIFS('Claim Review'!$A$6:$A$2005,A175,'Claim Review'!$C$6:$C$2005,"&lt;&gt;",'Claim Review'!$H$6:$H$2005,"Yes"))</f>
        <v/>
      </c>
      <c r="O175" s="11">
        <f>IF(A175="","",COUNTIFS('Claim Review'!$A$6:$A$2005,A175,'Claim Review'!$C$6:$C$2005,"&lt;&gt;"))</f>
        <v/>
      </c>
      <c r="P175" s="11">
        <f>IF(A175="","",COUNTIFS('Claim Review'!$A$6:$A$2005,A175,'Claim Review'!$C$6:$C$2005,"&lt;&gt;",'Claim Review'!$F$6:$F$2005,"Supported"))</f>
        <v/>
      </c>
      <c r="Q175" s="11">
        <f>IF(A175="","",O175-COUNTIFS('Claim Review'!$A$6:$A$2005,A175,'Claim Review'!$C$6:$C$2005,"&lt;&gt;",'Claim Review'!$K$6:$K$2005,"Yes"))</f>
        <v/>
      </c>
      <c r="R175" s="12">
        <f>IF(AND(A175&lt;&gt;"",COUNTIF($A$6:$A$205,A175)=1,COUNTIF('Test Cases'!$A$6:$A$205,B175)=1,I175&lt;&gt;"",J175&lt;&gt;"",OR(K175="Answered",K175="Clarification",K175="Abstained"),X175="Yes",T175&lt;&gt;"",O175&gt;0,Q175=0),P175/MAX(1,O175),"")</f>
        <v/>
      </c>
      <c r="S175" s="11">
        <f>IF(A175="","",IF(AND(J175="",K175=""),"Pending",IF(COUNTIF($A$6:$A$205,A175)&lt;&gt;1,"Duplicate Run ID",IF(COUNTIF('Test Cases'!$A$6:$A$205,B175)&lt;&gt;1,"Check Test ID",IF(K175="Error","FAIL",IF(OR(I175="",J175=""),"Needs evidence / answer",IF(NOT(OR(K175="Answered",K175="Clarification",K175="Abstained")),"Choose outcome",IF(X175&lt;&gt;"Yes","Confirm claim inventory",IF(AND(K175="Answered",O175=0),"Needs claims",IF(Q175&gt;0,"Needs claim review",IF(OR(NOT(OR(L175="Yes",L175="No")),T175=""),"Needs response review",IF(OR(L175="No",M175&gt;0,N175&gt;0,AND(ISNUMBER(R175),R175&lt;Dashboard!$B$5)),"FAIL","PASS"))))))))))))</f>
        <v/>
      </c>
      <c r="V175" s="11">
        <f>IF(B175="","",IFERROR(VLOOKUP(B175,'Test Cases'!$A$6:$J$205,7,FALSE),"Unknown Test ID"))</f>
        <v/>
      </c>
      <c r="W175" s="11">
        <f>IF(B175="","",IFERROR(VLOOKUP(B175,'Test Cases'!$A$6:$J$205,8,FALSE),"Unknown Test ID"))</f>
        <v/>
      </c>
    </row>
    <row r="176" spans="3:23">
      <c r="C176" s="11">
        <f>IF(B176="","",IFERROR(VLOOKUP(B176,'Test Cases'!$A$6:$J$205,2,FALSE),"Unknown Test ID"))</f>
        <v/>
      </c>
      <c r="D176" s="11">
        <f>IF(B176="","",IFERROR(VLOOKUP(B176,'Test Cases'!$A$6:$J$205,5,FALSE),"Unknown Test ID"))</f>
        <v/>
      </c>
      <c r="M176" s="11">
        <f>IF(A176="","",COUNTIFS('Claim Review'!$A$6:$A$2005,A176,'Claim Review'!$C$6:$C$2005,"&lt;&gt;",'Claim Review'!$G$6:$G$2005,"Wrong citation")+COUNTIFS('Claim Review'!$A$6:$A$2005,A176,'Claim Review'!$C$6:$C$2005,"&lt;&gt;",'Claim Review'!$G$6:$G$2005,"Missing citation"))</f>
        <v/>
      </c>
      <c r="N176" s="11">
        <f>IF(A176="","",COUNTIFS('Claim Review'!$A$6:$A$2005,A176,'Claim Review'!$C$6:$C$2005,"&lt;&gt;",'Claim Review'!$H$6:$H$2005,"Yes"))</f>
        <v/>
      </c>
      <c r="O176" s="11">
        <f>IF(A176="","",COUNTIFS('Claim Review'!$A$6:$A$2005,A176,'Claim Review'!$C$6:$C$2005,"&lt;&gt;"))</f>
        <v/>
      </c>
      <c r="P176" s="11">
        <f>IF(A176="","",COUNTIFS('Claim Review'!$A$6:$A$2005,A176,'Claim Review'!$C$6:$C$2005,"&lt;&gt;",'Claim Review'!$F$6:$F$2005,"Supported"))</f>
        <v/>
      </c>
      <c r="Q176" s="11">
        <f>IF(A176="","",O176-COUNTIFS('Claim Review'!$A$6:$A$2005,A176,'Claim Review'!$C$6:$C$2005,"&lt;&gt;",'Claim Review'!$K$6:$K$2005,"Yes"))</f>
        <v/>
      </c>
      <c r="R176" s="12">
        <f>IF(AND(A176&lt;&gt;"",COUNTIF($A$6:$A$205,A176)=1,COUNTIF('Test Cases'!$A$6:$A$205,B176)=1,I176&lt;&gt;"",J176&lt;&gt;"",OR(K176="Answered",K176="Clarification",K176="Abstained"),X176="Yes",T176&lt;&gt;"",O176&gt;0,Q176=0),P176/MAX(1,O176),"")</f>
        <v/>
      </c>
      <c r="S176" s="11">
        <f>IF(A176="","",IF(AND(J176="",K176=""),"Pending",IF(COUNTIF($A$6:$A$205,A176)&lt;&gt;1,"Duplicate Run ID",IF(COUNTIF('Test Cases'!$A$6:$A$205,B176)&lt;&gt;1,"Check Test ID",IF(K176="Error","FAIL",IF(OR(I176="",J176=""),"Needs evidence / answer",IF(NOT(OR(K176="Answered",K176="Clarification",K176="Abstained")),"Choose outcome",IF(X176&lt;&gt;"Yes","Confirm claim inventory",IF(AND(K176="Answered",O176=0),"Needs claims",IF(Q176&gt;0,"Needs claim review",IF(OR(NOT(OR(L176="Yes",L176="No")),T176=""),"Needs response review",IF(OR(L176="No",M176&gt;0,N176&gt;0,AND(ISNUMBER(R176),R176&lt;Dashboard!$B$5)),"FAIL","PASS"))))))))))))</f>
        <v/>
      </c>
      <c r="V176" s="11">
        <f>IF(B176="","",IFERROR(VLOOKUP(B176,'Test Cases'!$A$6:$J$205,7,FALSE),"Unknown Test ID"))</f>
        <v/>
      </c>
      <c r="W176" s="11">
        <f>IF(B176="","",IFERROR(VLOOKUP(B176,'Test Cases'!$A$6:$J$205,8,FALSE),"Unknown Test ID"))</f>
        <v/>
      </c>
    </row>
    <row r="177" spans="3:23">
      <c r="C177" s="11">
        <f>IF(B177="","",IFERROR(VLOOKUP(B177,'Test Cases'!$A$6:$J$205,2,FALSE),"Unknown Test ID"))</f>
        <v/>
      </c>
      <c r="D177" s="11">
        <f>IF(B177="","",IFERROR(VLOOKUP(B177,'Test Cases'!$A$6:$J$205,5,FALSE),"Unknown Test ID"))</f>
        <v/>
      </c>
      <c r="M177" s="11">
        <f>IF(A177="","",COUNTIFS('Claim Review'!$A$6:$A$2005,A177,'Claim Review'!$C$6:$C$2005,"&lt;&gt;",'Claim Review'!$G$6:$G$2005,"Wrong citation")+COUNTIFS('Claim Review'!$A$6:$A$2005,A177,'Claim Review'!$C$6:$C$2005,"&lt;&gt;",'Claim Review'!$G$6:$G$2005,"Missing citation"))</f>
        <v/>
      </c>
      <c r="N177" s="11">
        <f>IF(A177="","",COUNTIFS('Claim Review'!$A$6:$A$2005,A177,'Claim Review'!$C$6:$C$2005,"&lt;&gt;",'Claim Review'!$H$6:$H$2005,"Yes"))</f>
        <v/>
      </c>
      <c r="O177" s="11">
        <f>IF(A177="","",COUNTIFS('Claim Review'!$A$6:$A$2005,A177,'Claim Review'!$C$6:$C$2005,"&lt;&gt;"))</f>
        <v/>
      </c>
      <c r="P177" s="11">
        <f>IF(A177="","",COUNTIFS('Claim Review'!$A$6:$A$2005,A177,'Claim Review'!$C$6:$C$2005,"&lt;&gt;",'Claim Review'!$F$6:$F$2005,"Supported"))</f>
        <v/>
      </c>
      <c r="Q177" s="11">
        <f>IF(A177="","",O177-COUNTIFS('Claim Review'!$A$6:$A$2005,A177,'Claim Review'!$C$6:$C$2005,"&lt;&gt;",'Claim Review'!$K$6:$K$2005,"Yes"))</f>
        <v/>
      </c>
      <c r="R177" s="12">
        <f>IF(AND(A177&lt;&gt;"",COUNTIF($A$6:$A$205,A177)=1,COUNTIF('Test Cases'!$A$6:$A$205,B177)=1,I177&lt;&gt;"",J177&lt;&gt;"",OR(K177="Answered",K177="Clarification",K177="Abstained"),X177="Yes",T177&lt;&gt;"",O177&gt;0,Q177=0),P177/MAX(1,O177),"")</f>
        <v/>
      </c>
      <c r="S177" s="11">
        <f>IF(A177="","",IF(AND(J177="",K177=""),"Pending",IF(COUNTIF($A$6:$A$205,A177)&lt;&gt;1,"Duplicate Run ID",IF(COUNTIF('Test Cases'!$A$6:$A$205,B177)&lt;&gt;1,"Check Test ID",IF(K177="Error","FAIL",IF(OR(I177="",J177=""),"Needs evidence / answer",IF(NOT(OR(K177="Answered",K177="Clarification",K177="Abstained")),"Choose outcome",IF(X177&lt;&gt;"Yes","Confirm claim inventory",IF(AND(K177="Answered",O177=0),"Needs claims",IF(Q177&gt;0,"Needs claim review",IF(OR(NOT(OR(L177="Yes",L177="No")),T177=""),"Needs response review",IF(OR(L177="No",M177&gt;0,N177&gt;0,AND(ISNUMBER(R177),R177&lt;Dashboard!$B$5)),"FAIL","PASS"))))))))))))</f>
        <v/>
      </c>
      <c r="V177" s="11">
        <f>IF(B177="","",IFERROR(VLOOKUP(B177,'Test Cases'!$A$6:$J$205,7,FALSE),"Unknown Test ID"))</f>
        <v/>
      </c>
      <c r="W177" s="11">
        <f>IF(B177="","",IFERROR(VLOOKUP(B177,'Test Cases'!$A$6:$J$205,8,FALSE),"Unknown Test ID"))</f>
        <v/>
      </c>
    </row>
    <row r="178" spans="3:23">
      <c r="C178" s="11">
        <f>IF(B178="","",IFERROR(VLOOKUP(B178,'Test Cases'!$A$6:$J$205,2,FALSE),"Unknown Test ID"))</f>
        <v/>
      </c>
      <c r="D178" s="11">
        <f>IF(B178="","",IFERROR(VLOOKUP(B178,'Test Cases'!$A$6:$J$205,5,FALSE),"Unknown Test ID"))</f>
        <v/>
      </c>
      <c r="M178" s="11">
        <f>IF(A178="","",COUNTIFS('Claim Review'!$A$6:$A$2005,A178,'Claim Review'!$C$6:$C$2005,"&lt;&gt;",'Claim Review'!$G$6:$G$2005,"Wrong citation")+COUNTIFS('Claim Review'!$A$6:$A$2005,A178,'Claim Review'!$C$6:$C$2005,"&lt;&gt;",'Claim Review'!$G$6:$G$2005,"Missing citation"))</f>
        <v/>
      </c>
      <c r="N178" s="11">
        <f>IF(A178="","",COUNTIFS('Claim Review'!$A$6:$A$2005,A178,'Claim Review'!$C$6:$C$2005,"&lt;&gt;",'Claim Review'!$H$6:$H$2005,"Yes"))</f>
        <v/>
      </c>
      <c r="O178" s="11">
        <f>IF(A178="","",COUNTIFS('Claim Review'!$A$6:$A$2005,A178,'Claim Review'!$C$6:$C$2005,"&lt;&gt;"))</f>
        <v/>
      </c>
      <c r="P178" s="11">
        <f>IF(A178="","",COUNTIFS('Claim Review'!$A$6:$A$2005,A178,'Claim Review'!$C$6:$C$2005,"&lt;&gt;",'Claim Review'!$F$6:$F$2005,"Supported"))</f>
        <v/>
      </c>
      <c r="Q178" s="11">
        <f>IF(A178="","",O178-COUNTIFS('Claim Review'!$A$6:$A$2005,A178,'Claim Review'!$C$6:$C$2005,"&lt;&gt;",'Claim Review'!$K$6:$K$2005,"Yes"))</f>
        <v/>
      </c>
      <c r="R178" s="12">
        <f>IF(AND(A178&lt;&gt;"",COUNTIF($A$6:$A$205,A178)=1,COUNTIF('Test Cases'!$A$6:$A$205,B178)=1,I178&lt;&gt;"",J178&lt;&gt;"",OR(K178="Answered",K178="Clarification",K178="Abstained"),X178="Yes",T178&lt;&gt;"",O178&gt;0,Q178=0),P178/MAX(1,O178),"")</f>
        <v/>
      </c>
      <c r="S178" s="11">
        <f>IF(A178="","",IF(AND(J178="",K178=""),"Pending",IF(COUNTIF($A$6:$A$205,A178)&lt;&gt;1,"Duplicate Run ID",IF(COUNTIF('Test Cases'!$A$6:$A$205,B178)&lt;&gt;1,"Check Test ID",IF(K178="Error","FAIL",IF(OR(I178="",J178=""),"Needs evidence / answer",IF(NOT(OR(K178="Answered",K178="Clarification",K178="Abstained")),"Choose outcome",IF(X178&lt;&gt;"Yes","Confirm claim inventory",IF(AND(K178="Answered",O178=0),"Needs claims",IF(Q178&gt;0,"Needs claim review",IF(OR(NOT(OR(L178="Yes",L178="No")),T178=""),"Needs response review",IF(OR(L178="No",M178&gt;0,N178&gt;0,AND(ISNUMBER(R178),R178&lt;Dashboard!$B$5)),"FAIL","PASS"))))))))))))</f>
        <v/>
      </c>
      <c r="V178" s="11">
        <f>IF(B178="","",IFERROR(VLOOKUP(B178,'Test Cases'!$A$6:$J$205,7,FALSE),"Unknown Test ID"))</f>
        <v/>
      </c>
      <c r="W178" s="11">
        <f>IF(B178="","",IFERROR(VLOOKUP(B178,'Test Cases'!$A$6:$J$205,8,FALSE),"Unknown Test ID"))</f>
        <v/>
      </c>
    </row>
    <row r="179" spans="3:23">
      <c r="C179" s="11">
        <f>IF(B179="","",IFERROR(VLOOKUP(B179,'Test Cases'!$A$6:$J$205,2,FALSE),"Unknown Test ID"))</f>
        <v/>
      </c>
      <c r="D179" s="11">
        <f>IF(B179="","",IFERROR(VLOOKUP(B179,'Test Cases'!$A$6:$J$205,5,FALSE),"Unknown Test ID"))</f>
        <v/>
      </c>
      <c r="M179" s="11">
        <f>IF(A179="","",COUNTIFS('Claim Review'!$A$6:$A$2005,A179,'Claim Review'!$C$6:$C$2005,"&lt;&gt;",'Claim Review'!$G$6:$G$2005,"Wrong citation")+COUNTIFS('Claim Review'!$A$6:$A$2005,A179,'Claim Review'!$C$6:$C$2005,"&lt;&gt;",'Claim Review'!$G$6:$G$2005,"Missing citation"))</f>
        <v/>
      </c>
      <c r="N179" s="11">
        <f>IF(A179="","",COUNTIFS('Claim Review'!$A$6:$A$2005,A179,'Claim Review'!$C$6:$C$2005,"&lt;&gt;",'Claim Review'!$H$6:$H$2005,"Yes"))</f>
        <v/>
      </c>
      <c r="O179" s="11">
        <f>IF(A179="","",COUNTIFS('Claim Review'!$A$6:$A$2005,A179,'Claim Review'!$C$6:$C$2005,"&lt;&gt;"))</f>
        <v/>
      </c>
      <c r="P179" s="11">
        <f>IF(A179="","",COUNTIFS('Claim Review'!$A$6:$A$2005,A179,'Claim Review'!$C$6:$C$2005,"&lt;&gt;",'Claim Review'!$F$6:$F$2005,"Supported"))</f>
        <v/>
      </c>
      <c r="Q179" s="11">
        <f>IF(A179="","",O179-COUNTIFS('Claim Review'!$A$6:$A$2005,A179,'Claim Review'!$C$6:$C$2005,"&lt;&gt;",'Claim Review'!$K$6:$K$2005,"Yes"))</f>
        <v/>
      </c>
      <c r="R179" s="12">
        <f>IF(AND(A179&lt;&gt;"",COUNTIF($A$6:$A$205,A179)=1,COUNTIF('Test Cases'!$A$6:$A$205,B179)=1,I179&lt;&gt;"",J179&lt;&gt;"",OR(K179="Answered",K179="Clarification",K179="Abstained"),X179="Yes",T179&lt;&gt;"",O179&gt;0,Q179=0),P179/MAX(1,O179),"")</f>
        <v/>
      </c>
      <c r="S179" s="11">
        <f>IF(A179="","",IF(AND(J179="",K179=""),"Pending",IF(COUNTIF($A$6:$A$205,A179)&lt;&gt;1,"Duplicate Run ID",IF(COUNTIF('Test Cases'!$A$6:$A$205,B179)&lt;&gt;1,"Check Test ID",IF(K179="Error","FAIL",IF(OR(I179="",J179=""),"Needs evidence / answer",IF(NOT(OR(K179="Answered",K179="Clarification",K179="Abstained")),"Choose outcome",IF(X179&lt;&gt;"Yes","Confirm claim inventory",IF(AND(K179="Answered",O179=0),"Needs claims",IF(Q179&gt;0,"Needs claim review",IF(OR(NOT(OR(L179="Yes",L179="No")),T179=""),"Needs response review",IF(OR(L179="No",M179&gt;0,N179&gt;0,AND(ISNUMBER(R179),R179&lt;Dashboard!$B$5)),"FAIL","PASS"))))))))))))</f>
        <v/>
      </c>
      <c r="V179" s="11">
        <f>IF(B179="","",IFERROR(VLOOKUP(B179,'Test Cases'!$A$6:$J$205,7,FALSE),"Unknown Test ID"))</f>
        <v/>
      </c>
      <c r="W179" s="11">
        <f>IF(B179="","",IFERROR(VLOOKUP(B179,'Test Cases'!$A$6:$J$205,8,FALSE),"Unknown Test ID"))</f>
        <v/>
      </c>
    </row>
    <row r="180" spans="3:23">
      <c r="C180" s="11">
        <f>IF(B180="","",IFERROR(VLOOKUP(B180,'Test Cases'!$A$6:$J$205,2,FALSE),"Unknown Test ID"))</f>
        <v/>
      </c>
      <c r="D180" s="11">
        <f>IF(B180="","",IFERROR(VLOOKUP(B180,'Test Cases'!$A$6:$J$205,5,FALSE),"Unknown Test ID"))</f>
        <v/>
      </c>
      <c r="M180" s="11">
        <f>IF(A180="","",COUNTIFS('Claim Review'!$A$6:$A$2005,A180,'Claim Review'!$C$6:$C$2005,"&lt;&gt;",'Claim Review'!$G$6:$G$2005,"Wrong citation")+COUNTIFS('Claim Review'!$A$6:$A$2005,A180,'Claim Review'!$C$6:$C$2005,"&lt;&gt;",'Claim Review'!$G$6:$G$2005,"Missing citation"))</f>
        <v/>
      </c>
      <c r="N180" s="11">
        <f>IF(A180="","",COUNTIFS('Claim Review'!$A$6:$A$2005,A180,'Claim Review'!$C$6:$C$2005,"&lt;&gt;",'Claim Review'!$H$6:$H$2005,"Yes"))</f>
        <v/>
      </c>
      <c r="O180" s="11">
        <f>IF(A180="","",COUNTIFS('Claim Review'!$A$6:$A$2005,A180,'Claim Review'!$C$6:$C$2005,"&lt;&gt;"))</f>
        <v/>
      </c>
      <c r="P180" s="11">
        <f>IF(A180="","",COUNTIFS('Claim Review'!$A$6:$A$2005,A180,'Claim Review'!$C$6:$C$2005,"&lt;&gt;",'Claim Review'!$F$6:$F$2005,"Supported"))</f>
        <v/>
      </c>
      <c r="Q180" s="11">
        <f>IF(A180="","",O180-COUNTIFS('Claim Review'!$A$6:$A$2005,A180,'Claim Review'!$C$6:$C$2005,"&lt;&gt;",'Claim Review'!$K$6:$K$2005,"Yes"))</f>
        <v/>
      </c>
      <c r="R180" s="12">
        <f>IF(AND(A180&lt;&gt;"",COUNTIF($A$6:$A$205,A180)=1,COUNTIF('Test Cases'!$A$6:$A$205,B180)=1,I180&lt;&gt;"",J180&lt;&gt;"",OR(K180="Answered",K180="Clarification",K180="Abstained"),X180="Yes",T180&lt;&gt;"",O180&gt;0,Q180=0),P180/MAX(1,O180),"")</f>
        <v/>
      </c>
      <c r="S180" s="11">
        <f>IF(A180="","",IF(AND(J180="",K180=""),"Pending",IF(COUNTIF($A$6:$A$205,A180)&lt;&gt;1,"Duplicate Run ID",IF(COUNTIF('Test Cases'!$A$6:$A$205,B180)&lt;&gt;1,"Check Test ID",IF(K180="Error","FAIL",IF(OR(I180="",J180=""),"Needs evidence / answer",IF(NOT(OR(K180="Answered",K180="Clarification",K180="Abstained")),"Choose outcome",IF(X180&lt;&gt;"Yes","Confirm claim inventory",IF(AND(K180="Answered",O180=0),"Needs claims",IF(Q180&gt;0,"Needs claim review",IF(OR(NOT(OR(L180="Yes",L180="No")),T180=""),"Needs response review",IF(OR(L180="No",M180&gt;0,N180&gt;0,AND(ISNUMBER(R180),R180&lt;Dashboard!$B$5)),"FAIL","PASS"))))))))))))</f>
        <v/>
      </c>
      <c r="V180" s="11">
        <f>IF(B180="","",IFERROR(VLOOKUP(B180,'Test Cases'!$A$6:$J$205,7,FALSE),"Unknown Test ID"))</f>
        <v/>
      </c>
      <c r="W180" s="11">
        <f>IF(B180="","",IFERROR(VLOOKUP(B180,'Test Cases'!$A$6:$J$205,8,FALSE),"Unknown Test ID"))</f>
        <v/>
      </c>
    </row>
    <row r="181" spans="3:23">
      <c r="C181" s="11">
        <f>IF(B181="","",IFERROR(VLOOKUP(B181,'Test Cases'!$A$6:$J$205,2,FALSE),"Unknown Test ID"))</f>
        <v/>
      </c>
      <c r="D181" s="11">
        <f>IF(B181="","",IFERROR(VLOOKUP(B181,'Test Cases'!$A$6:$J$205,5,FALSE),"Unknown Test ID"))</f>
        <v/>
      </c>
      <c r="M181" s="11">
        <f>IF(A181="","",COUNTIFS('Claim Review'!$A$6:$A$2005,A181,'Claim Review'!$C$6:$C$2005,"&lt;&gt;",'Claim Review'!$G$6:$G$2005,"Wrong citation")+COUNTIFS('Claim Review'!$A$6:$A$2005,A181,'Claim Review'!$C$6:$C$2005,"&lt;&gt;",'Claim Review'!$G$6:$G$2005,"Missing citation"))</f>
        <v/>
      </c>
      <c r="N181" s="11">
        <f>IF(A181="","",COUNTIFS('Claim Review'!$A$6:$A$2005,A181,'Claim Review'!$C$6:$C$2005,"&lt;&gt;",'Claim Review'!$H$6:$H$2005,"Yes"))</f>
        <v/>
      </c>
      <c r="O181" s="11">
        <f>IF(A181="","",COUNTIFS('Claim Review'!$A$6:$A$2005,A181,'Claim Review'!$C$6:$C$2005,"&lt;&gt;"))</f>
        <v/>
      </c>
      <c r="P181" s="11">
        <f>IF(A181="","",COUNTIFS('Claim Review'!$A$6:$A$2005,A181,'Claim Review'!$C$6:$C$2005,"&lt;&gt;",'Claim Review'!$F$6:$F$2005,"Supported"))</f>
        <v/>
      </c>
      <c r="Q181" s="11">
        <f>IF(A181="","",O181-COUNTIFS('Claim Review'!$A$6:$A$2005,A181,'Claim Review'!$C$6:$C$2005,"&lt;&gt;",'Claim Review'!$K$6:$K$2005,"Yes"))</f>
        <v/>
      </c>
      <c r="R181" s="12">
        <f>IF(AND(A181&lt;&gt;"",COUNTIF($A$6:$A$205,A181)=1,COUNTIF('Test Cases'!$A$6:$A$205,B181)=1,I181&lt;&gt;"",J181&lt;&gt;"",OR(K181="Answered",K181="Clarification",K181="Abstained"),X181="Yes",T181&lt;&gt;"",O181&gt;0,Q181=0),P181/MAX(1,O181),"")</f>
        <v/>
      </c>
      <c r="S181" s="11">
        <f>IF(A181="","",IF(AND(J181="",K181=""),"Pending",IF(COUNTIF($A$6:$A$205,A181)&lt;&gt;1,"Duplicate Run ID",IF(COUNTIF('Test Cases'!$A$6:$A$205,B181)&lt;&gt;1,"Check Test ID",IF(K181="Error","FAIL",IF(OR(I181="",J181=""),"Needs evidence / answer",IF(NOT(OR(K181="Answered",K181="Clarification",K181="Abstained")),"Choose outcome",IF(X181&lt;&gt;"Yes","Confirm claim inventory",IF(AND(K181="Answered",O181=0),"Needs claims",IF(Q181&gt;0,"Needs claim review",IF(OR(NOT(OR(L181="Yes",L181="No")),T181=""),"Needs response review",IF(OR(L181="No",M181&gt;0,N181&gt;0,AND(ISNUMBER(R181),R181&lt;Dashboard!$B$5)),"FAIL","PASS"))))))))))))</f>
        <v/>
      </c>
      <c r="V181" s="11">
        <f>IF(B181="","",IFERROR(VLOOKUP(B181,'Test Cases'!$A$6:$J$205,7,FALSE),"Unknown Test ID"))</f>
        <v/>
      </c>
      <c r="W181" s="11">
        <f>IF(B181="","",IFERROR(VLOOKUP(B181,'Test Cases'!$A$6:$J$205,8,FALSE),"Unknown Test ID"))</f>
        <v/>
      </c>
    </row>
    <row r="182" spans="3:23">
      <c r="C182" s="11">
        <f>IF(B182="","",IFERROR(VLOOKUP(B182,'Test Cases'!$A$6:$J$205,2,FALSE),"Unknown Test ID"))</f>
        <v/>
      </c>
      <c r="D182" s="11">
        <f>IF(B182="","",IFERROR(VLOOKUP(B182,'Test Cases'!$A$6:$J$205,5,FALSE),"Unknown Test ID"))</f>
        <v/>
      </c>
      <c r="M182" s="11">
        <f>IF(A182="","",COUNTIFS('Claim Review'!$A$6:$A$2005,A182,'Claim Review'!$C$6:$C$2005,"&lt;&gt;",'Claim Review'!$G$6:$G$2005,"Wrong citation")+COUNTIFS('Claim Review'!$A$6:$A$2005,A182,'Claim Review'!$C$6:$C$2005,"&lt;&gt;",'Claim Review'!$G$6:$G$2005,"Missing citation"))</f>
        <v/>
      </c>
      <c r="N182" s="11">
        <f>IF(A182="","",COUNTIFS('Claim Review'!$A$6:$A$2005,A182,'Claim Review'!$C$6:$C$2005,"&lt;&gt;",'Claim Review'!$H$6:$H$2005,"Yes"))</f>
        <v/>
      </c>
      <c r="O182" s="11">
        <f>IF(A182="","",COUNTIFS('Claim Review'!$A$6:$A$2005,A182,'Claim Review'!$C$6:$C$2005,"&lt;&gt;"))</f>
        <v/>
      </c>
      <c r="P182" s="11">
        <f>IF(A182="","",COUNTIFS('Claim Review'!$A$6:$A$2005,A182,'Claim Review'!$C$6:$C$2005,"&lt;&gt;",'Claim Review'!$F$6:$F$2005,"Supported"))</f>
        <v/>
      </c>
      <c r="Q182" s="11">
        <f>IF(A182="","",O182-COUNTIFS('Claim Review'!$A$6:$A$2005,A182,'Claim Review'!$C$6:$C$2005,"&lt;&gt;",'Claim Review'!$K$6:$K$2005,"Yes"))</f>
        <v/>
      </c>
      <c r="R182" s="12">
        <f>IF(AND(A182&lt;&gt;"",COUNTIF($A$6:$A$205,A182)=1,COUNTIF('Test Cases'!$A$6:$A$205,B182)=1,I182&lt;&gt;"",J182&lt;&gt;"",OR(K182="Answered",K182="Clarification",K182="Abstained"),X182="Yes",T182&lt;&gt;"",O182&gt;0,Q182=0),P182/MAX(1,O182),"")</f>
        <v/>
      </c>
      <c r="S182" s="11">
        <f>IF(A182="","",IF(AND(J182="",K182=""),"Pending",IF(COUNTIF($A$6:$A$205,A182)&lt;&gt;1,"Duplicate Run ID",IF(COUNTIF('Test Cases'!$A$6:$A$205,B182)&lt;&gt;1,"Check Test ID",IF(K182="Error","FAIL",IF(OR(I182="",J182=""),"Needs evidence / answer",IF(NOT(OR(K182="Answered",K182="Clarification",K182="Abstained")),"Choose outcome",IF(X182&lt;&gt;"Yes","Confirm claim inventory",IF(AND(K182="Answered",O182=0),"Needs claims",IF(Q182&gt;0,"Needs claim review",IF(OR(NOT(OR(L182="Yes",L182="No")),T182=""),"Needs response review",IF(OR(L182="No",M182&gt;0,N182&gt;0,AND(ISNUMBER(R182),R182&lt;Dashboard!$B$5)),"FAIL","PASS"))))))))))))</f>
        <v/>
      </c>
      <c r="V182" s="11">
        <f>IF(B182="","",IFERROR(VLOOKUP(B182,'Test Cases'!$A$6:$J$205,7,FALSE),"Unknown Test ID"))</f>
        <v/>
      </c>
      <c r="W182" s="11">
        <f>IF(B182="","",IFERROR(VLOOKUP(B182,'Test Cases'!$A$6:$J$205,8,FALSE),"Unknown Test ID"))</f>
        <v/>
      </c>
    </row>
    <row r="183" spans="3:23">
      <c r="C183" s="11">
        <f>IF(B183="","",IFERROR(VLOOKUP(B183,'Test Cases'!$A$6:$J$205,2,FALSE),"Unknown Test ID"))</f>
        <v/>
      </c>
      <c r="D183" s="11">
        <f>IF(B183="","",IFERROR(VLOOKUP(B183,'Test Cases'!$A$6:$J$205,5,FALSE),"Unknown Test ID"))</f>
        <v/>
      </c>
      <c r="M183" s="11">
        <f>IF(A183="","",COUNTIFS('Claim Review'!$A$6:$A$2005,A183,'Claim Review'!$C$6:$C$2005,"&lt;&gt;",'Claim Review'!$G$6:$G$2005,"Wrong citation")+COUNTIFS('Claim Review'!$A$6:$A$2005,A183,'Claim Review'!$C$6:$C$2005,"&lt;&gt;",'Claim Review'!$G$6:$G$2005,"Missing citation"))</f>
        <v/>
      </c>
      <c r="N183" s="11">
        <f>IF(A183="","",COUNTIFS('Claim Review'!$A$6:$A$2005,A183,'Claim Review'!$C$6:$C$2005,"&lt;&gt;",'Claim Review'!$H$6:$H$2005,"Yes"))</f>
        <v/>
      </c>
      <c r="O183" s="11">
        <f>IF(A183="","",COUNTIFS('Claim Review'!$A$6:$A$2005,A183,'Claim Review'!$C$6:$C$2005,"&lt;&gt;"))</f>
        <v/>
      </c>
      <c r="P183" s="11">
        <f>IF(A183="","",COUNTIFS('Claim Review'!$A$6:$A$2005,A183,'Claim Review'!$C$6:$C$2005,"&lt;&gt;",'Claim Review'!$F$6:$F$2005,"Supported"))</f>
        <v/>
      </c>
      <c r="Q183" s="11">
        <f>IF(A183="","",O183-COUNTIFS('Claim Review'!$A$6:$A$2005,A183,'Claim Review'!$C$6:$C$2005,"&lt;&gt;",'Claim Review'!$K$6:$K$2005,"Yes"))</f>
        <v/>
      </c>
      <c r="R183" s="12">
        <f>IF(AND(A183&lt;&gt;"",COUNTIF($A$6:$A$205,A183)=1,COUNTIF('Test Cases'!$A$6:$A$205,B183)=1,I183&lt;&gt;"",J183&lt;&gt;"",OR(K183="Answered",K183="Clarification",K183="Abstained"),X183="Yes",T183&lt;&gt;"",O183&gt;0,Q183=0),P183/MAX(1,O183),"")</f>
        <v/>
      </c>
      <c r="S183" s="11">
        <f>IF(A183="","",IF(AND(J183="",K183=""),"Pending",IF(COUNTIF($A$6:$A$205,A183)&lt;&gt;1,"Duplicate Run ID",IF(COUNTIF('Test Cases'!$A$6:$A$205,B183)&lt;&gt;1,"Check Test ID",IF(K183="Error","FAIL",IF(OR(I183="",J183=""),"Needs evidence / answer",IF(NOT(OR(K183="Answered",K183="Clarification",K183="Abstained")),"Choose outcome",IF(X183&lt;&gt;"Yes","Confirm claim inventory",IF(AND(K183="Answered",O183=0),"Needs claims",IF(Q183&gt;0,"Needs claim review",IF(OR(NOT(OR(L183="Yes",L183="No")),T183=""),"Needs response review",IF(OR(L183="No",M183&gt;0,N183&gt;0,AND(ISNUMBER(R183),R183&lt;Dashboard!$B$5)),"FAIL","PASS"))))))))))))</f>
        <v/>
      </c>
      <c r="V183" s="11">
        <f>IF(B183="","",IFERROR(VLOOKUP(B183,'Test Cases'!$A$6:$J$205,7,FALSE),"Unknown Test ID"))</f>
        <v/>
      </c>
      <c r="W183" s="11">
        <f>IF(B183="","",IFERROR(VLOOKUP(B183,'Test Cases'!$A$6:$J$205,8,FALSE),"Unknown Test ID"))</f>
        <v/>
      </c>
    </row>
    <row r="184" spans="3:23">
      <c r="C184" s="11">
        <f>IF(B184="","",IFERROR(VLOOKUP(B184,'Test Cases'!$A$6:$J$205,2,FALSE),"Unknown Test ID"))</f>
        <v/>
      </c>
      <c r="D184" s="11">
        <f>IF(B184="","",IFERROR(VLOOKUP(B184,'Test Cases'!$A$6:$J$205,5,FALSE),"Unknown Test ID"))</f>
        <v/>
      </c>
      <c r="M184" s="11">
        <f>IF(A184="","",COUNTIFS('Claim Review'!$A$6:$A$2005,A184,'Claim Review'!$C$6:$C$2005,"&lt;&gt;",'Claim Review'!$G$6:$G$2005,"Wrong citation")+COUNTIFS('Claim Review'!$A$6:$A$2005,A184,'Claim Review'!$C$6:$C$2005,"&lt;&gt;",'Claim Review'!$G$6:$G$2005,"Missing citation"))</f>
        <v/>
      </c>
      <c r="N184" s="11">
        <f>IF(A184="","",COUNTIFS('Claim Review'!$A$6:$A$2005,A184,'Claim Review'!$C$6:$C$2005,"&lt;&gt;",'Claim Review'!$H$6:$H$2005,"Yes"))</f>
        <v/>
      </c>
      <c r="O184" s="11">
        <f>IF(A184="","",COUNTIFS('Claim Review'!$A$6:$A$2005,A184,'Claim Review'!$C$6:$C$2005,"&lt;&gt;"))</f>
        <v/>
      </c>
      <c r="P184" s="11">
        <f>IF(A184="","",COUNTIFS('Claim Review'!$A$6:$A$2005,A184,'Claim Review'!$C$6:$C$2005,"&lt;&gt;",'Claim Review'!$F$6:$F$2005,"Supported"))</f>
        <v/>
      </c>
      <c r="Q184" s="11">
        <f>IF(A184="","",O184-COUNTIFS('Claim Review'!$A$6:$A$2005,A184,'Claim Review'!$C$6:$C$2005,"&lt;&gt;",'Claim Review'!$K$6:$K$2005,"Yes"))</f>
        <v/>
      </c>
      <c r="R184" s="12">
        <f>IF(AND(A184&lt;&gt;"",COUNTIF($A$6:$A$205,A184)=1,COUNTIF('Test Cases'!$A$6:$A$205,B184)=1,I184&lt;&gt;"",J184&lt;&gt;"",OR(K184="Answered",K184="Clarification",K184="Abstained"),X184="Yes",T184&lt;&gt;"",O184&gt;0,Q184=0),P184/MAX(1,O184),"")</f>
        <v/>
      </c>
      <c r="S184" s="11">
        <f>IF(A184="","",IF(AND(J184="",K184=""),"Pending",IF(COUNTIF($A$6:$A$205,A184)&lt;&gt;1,"Duplicate Run ID",IF(COUNTIF('Test Cases'!$A$6:$A$205,B184)&lt;&gt;1,"Check Test ID",IF(K184="Error","FAIL",IF(OR(I184="",J184=""),"Needs evidence / answer",IF(NOT(OR(K184="Answered",K184="Clarification",K184="Abstained")),"Choose outcome",IF(X184&lt;&gt;"Yes","Confirm claim inventory",IF(AND(K184="Answered",O184=0),"Needs claims",IF(Q184&gt;0,"Needs claim review",IF(OR(NOT(OR(L184="Yes",L184="No")),T184=""),"Needs response review",IF(OR(L184="No",M184&gt;0,N184&gt;0,AND(ISNUMBER(R184),R184&lt;Dashboard!$B$5)),"FAIL","PASS"))))))))))))</f>
        <v/>
      </c>
      <c r="V184" s="11">
        <f>IF(B184="","",IFERROR(VLOOKUP(B184,'Test Cases'!$A$6:$J$205,7,FALSE),"Unknown Test ID"))</f>
        <v/>
      </c>
      <c r="W184" s="11">
        <f>IF(B184="","",IFERROR(VLOOKUP(B184,'Test Cases'!$A$6:$J$205,8,FALSE),"Unknown Test ID"))</f>
        <v/>
      </c>
    </row>
    <row r="185" spans="3:23">
      <c r="C185" s="11">
        <f>IF(B185="","",IFERROR(VLOOKUP(B185,'Test Cases'!$A$6:$J$205,2,FALSE),"Unknown Test ID"))</f>
        <v/>
      </c>
      <c r="D185" s="11">
        <f>IF(B185="","",IFERROR(VLOOKUP(B185,'Test Cases'!$A$6:$J$205,5,FALSE),"Unknown Test ID"))</f>
        <v/>
      </c>
      <c r="M185" s="11">
        <f>IF(A185="","",COUNTIFS('Claim Review'!$A$6:$A$2005,A185,'Claim Review'!$C$6:$C$2005,"&lt;&gt;",'Claim Review'!$G$6:$G$2005,"Wrong citation")+COUNTIFS('Claim Review'!$A$6:$A$2005,A185,'Claim Review'!$C$6:$C$2005,"&lt;&gt;",'Claim Review'!$G$6:$G$2005,"Missing citation"))</f>
        <v/>
      </c>
      <c r="N185" s="11">
        <f>IF(A185="","",COUNTIFS('Claim Review'!$A$6:$A$2005,A185,'Claim Review'!$C$6:$C$2005,"&lt;&gt;",'Claim Review'!$H$6:$H$2005,"Yes"))</f>
        <v/>
      </c>
      <c r="O185" s="11">
        <f>IF(A185="","",COUNTIFS('Claim Review'!$A$6:$A$2005,A185,'Claim Review'!$C$6:$C$2005,"&lt;&gt;"))</f>
        <v/>
      </c>
      <c r="P185" s="11">
        <f>IF(A185="","",COUNTIFS('Claim Review'!$A$6:$A$2005,A185,'Claim Review'!$C$6:$C$2005,"&lt;&gt;",'Claim Review'!$F$6:$F$2005,"Supported"))</f>
        <v/>
      </c>
      <c r="Q185" s="11">
        <f>IF(A185="","",O185-COUNTIFS('Claim Review'!$A$6:$A$2005,A185,'Claim Review'!$C$6:$C$2005,"&lt;&gt;",'Claim Review'!$K$6:$K$2005,"Yes"))</f>
        <v/>
      </c>
      <c r="R185" s="12">
        <f>IF(AND(A185&lt;&gt;"",COUNTIF($A$6:$A$205,A185)=1,COUNTIF('Test Cases'!$A$6:$A$205,B185)=1,I185&lt;&gt;"",J185&lt;&gt;"",OR(K185="Answered",K185="Clarification",K185="Abstained"),X185="Yes",T185&lt;&gt;"",O185&gt;0,Q185=0),P185/MAX(1,O185),"")</f>
        <v/>
      </c>
      <c r="S185" s="11">
        <f>IF(A185="","",IF(AND(J185="",K185=""),"Pending",IF(COUNTIF($A$6:$A$205,A185)&lt;&gt;1,"Duplicate Run ID",IF(COUNTIF('Test Cases'!$A$6:$A$205,B185)&lt;&gt;1,"Check Test ID",IF(K185="Error","FAIL",IF(OR(I185="",J185=""),"Needs evidence / answer",IF(NOT(OR(K185="Answered",K185="Clarification",K185="Abstained")),"Choose outcome",IF(X185&lt;&gt;"Yes","Confirm claim inventory",IF(AND(K185="Answered",O185=0),"Needs claims",IF(Q185&gt;0,"Needs claim review",IF(OR(NOT(OR(L185="Yes",L185="No")),T185=""),"Needs response review",IF(OR(L185="No",M185&gt;0,N185&gt;0,AND(ISNUMBER(R185),R185&lt;Dashboard!$B$5)),"FAIL","PASS"))))))))))))</f>
        <v/>
      </c>
      <c r="V185" s="11">
        <f>IF(B185="","",IFERROR(VLOOKUP(B185,'Test Cases'!$A$6:$J$205,7,FALSE),"Unknown Test ID"))</f>
        <v/>
      </c>
      <c r="W185" s="11">
        <f>IF(B185="","",IFERROR(VLOOKUP(B185,'Test Cases'!$A$6:$J$205,8,FALSE),"Unknown Test ID"))</f>
        <v/>
      </c>
    </row>
    <row r="186" spans="3:23">
      <c r="C186" s="11">
        <f>IF(B186="","",IFERROR(VLOOKUP(B186,'Test Cases'!$A$6:$J$205,2,FALSE),"Unknown Test ID"))</f>
        <v/>
      </c>
      <c r="D186" s="11">
        <f>IF(B186="","",IFERROR(VLOOKUP(B186,'Test Cases'!$A$6:$J$205,5,FALSE),"Unknown Test ID"))</f>
        <v/>
      </c>
      <c r="M186" s="11">
        <f>IF(A186="","",COUNTIFS('Claim Review'!$A$6:$A$2005,A186,'Claim Review'!$C$6:$C$2005,"&lt;&gt;",'Claim Review'!$G$6:$G$2005,"Wrong citation")+COUNTIFS('Claim Review'!$A$6:$A$2005,A186,'Claim Review'!$C$6:$C$2005,"&lt;&gt;",'Claim Review'!$G$6:$G$2005,"Missing citation"))</f>
        <v/>
      </c>
      <c r="N186" s="11">
        <f>IF(A186="","",COUNTIFS('Claim Review'!$A$6:$A$2005,A186,'Claim Review'!$C$6:$C$2005,"&lt;&gt;",'Claim Review'!$H$6:$H$2005,"Yes"))</f>
        <v/>
      </c>
      <c r="O186" s="11">
        <f>IF(A186="","",COUNTIFS('Claim Review'!$A$6:$A$2005,A186,'Claim Review'!$C$6:$C$2005,"&lt;&gt;"))</f>
        <v/>
      </c>
      <c r="P186" s="11">
        <f>IF(A186="","",COUNTIFS('Claim Review'!$A$6:$A$2005,A186,'Claim Review'!$C$6:$C$2005,"&lt;&gt;",'Claim Review'!$F$6:$F$2005,"Supported"))</f>
        <v/>
      </c>
      <c r="Q186" s="11">
        <f>IF(A186="","",O186-COUNTIFS('Claim Review'!$A$6:$A$2005,A186,'Claim Review'!$C$6:$C$2005,"&lt;&gt;",'Claim Review'!$K$6:$K$2005,"Yes"))</f>
        <v/>
      </c>
      <c r="R186" s="12">
        <f>IF(AND(A186&lt;&gt;"",COUNTIF($A$6:$A$205,A186)=1,COUNTIF('Test Cases'!$A$6:$A$205,B186)=1,I186&lt;&gt;"",J186&lt;&gt;"",OR(K186="Answered",K186="Clarification",K186="Abstained"),X186="Yes",T186&lt;&gt;"",O186&gt;0,Q186=0),P186/MAX(1,O186),"")</f>
        <v/>
      </c>
      <c r="S186" s="11">
        <f>IF(A186="","",IF(AND(J186="",K186=""),"Pending",IF(COUNTIF($A$6:$A$205,A186)&lt;&gt;1,"Duplicate Run ID",IF(COUNTIF('Test Cases'!$A$6:$A$205,B186)&lt;&gt;1,"Check Test ID",IF(K186="Error","FAIL",IF(OR(I186="",J186=""),"Needs evidence / answer",IF(NOT(OR(K186="Answered",K186="Clarification",K186="Abstained")),"Choose outcome",IF(X186&lt;&gt;"Yes","Confirm claim inventory",IF(AND(K186="Answered",O186=0),"Needs claims",IF(Q186&gt;0,"Needs claim review",IF(OR(NOT(OR(L186="Yes",L186="No")),T186=""),"Needs response review",IF(OR(L186="No",M186&gt;0,N186&gt;0,AND(ISNUMBER(R186),R186&lt;Dashboard!$B$5)),"FAIL","PASS"))))))))))))</f>
        <v/>
      </c>
      <c r="V186" s="11">
        <f>IF(B186="","",IFERROR(VLOOKUP(B186,'Test Cases'!$A$6:$J$205,7,FALSE),"Unknown Test ID"))</f>
        <v/>
      </c>
      <c r="W186" s="11">
        <f>IF(B186="","",IFERROR(VLOOKUP(B186,'Test Cases'!$A$6:$J$205,8,FALSE),"Unknown Test ID"))</f>
        <v/>
      </c>
    </row>
    <row r="187" spans="3:23">
      <c r="C187" s="11">
        <f>IF(B187="","",IFERROR(VLOOKUP(B187,'Test Cases'!$A$6:$J$205,2,FALSE),"Unknown Test ID"))</f>
        <v/>
      </c>
      <c r="D187" s="11">
        <f>IF(B187="","",IFERROR(VLOOKUP(B187,'Test Cases'!$A$6:$J$205,5,FALSE),"Unknown Test ID"))</f>
        <v/>
      </c>
      <c r="M187" s="11">
        <f>IF(A187="","",COUNTIFS('Claim Review'!$A$6:$A$2005,A187,'Claim Review'!$C$6:$C$2005,"&lt;&gt;",'Claim Review'!$G$6:$G$2005,"Wrong citation")+COUNTIFS('Claim Review'!$A$6:$A$2005,A187,'Claim Review'!$C$6:$C$2005,"&lt;&gt;",'Claim Review'!$G$6:$G$2005,"Missing citation"))</f>
        <v/>
      </c>
      <c r="N187" s="11">
        <f>IF(A187="","",COUNTIFS('Claim Review'!$A$6:$A$2005,A187,'Claim Review'!$C$6:$C$2005,"&lt;&gt;",'Claim Review'!$H$6:$H$2005,"Yes"))</f>
        <v/>
      </c>
      <c r="O187" s="11">
        <f>IF(A187="","",COUNTIFS('Claim Review'!$A$6:$A$2005,A187,'Claim Review'!$C$6:$C$2005,"&lt;&gt;"))</f>
        <v/>
      </c>
      <c r="P187" s="11">
        <f>IF(A187="","",COUNTIFS('Claim Review'!$A$6:$A$2005,A187,'Claim Review'!$C$6:$C$2005,"&lt;&gt;",'Claim Review'!$F$6:$F$2005,"Supported"))</f>
        <v/>
      </c>
      <c r="Q187" s="11">
        <f>IF(A187="","",O187-COUNTIFS('Claim Review'!$A$6:$A$2005,A187,'Claim Review'!$C$6:$C$2005,"&lt;&gt;",'Claim Review'!$K$6:$K$2005,"Yes"))</f>
        <v/>
      </c>
      <c r="R187" s="12">
        <f>IF(AND(A187&lt;&gt;"",COUNTIF($A$6:$A$205,A187)=1,COUNTIF('Test Cases'!$A$6:$A$205,B187)=1,I187&lt;&gt;"",J187&lt;&gt;"",OR(K187="Answered",K187="Clarification",K187="Abstained"),X187="Yes",T187&lt;&gt;"",O187&gt;0,Q187=0),P187/MAX(1,O187),"")</f>
        <v/>
      </c>
      <c r="S187" s="11">
        <f>IF(A187="","",IF(AND(J187="",K187=""),"Pending",IF(COUNTIF($A$6:$A$205,A187)&lt;&gt;1,"Duplicate Run ID",IF(COUNTIF('Test Cases'!$A$6:$A$205,B187)&lt;&gt;1,"Check Test ID",IF(K187="Error","FAIL",IF(OR(I187="",J187=""),"Needs evidence / answer",IF(NOT(OR(K187="Answered",K187="Clarification",K187="Abstained")),"Choose outcome",IF(X187&lt;&gt;"Yes","Confirm claim inventory",IF(AND(K187="Answered",O187=0),"Needs claims",IF(Q187&gt;0,"Needs claim review",IF(OR(NOT(OR(L187="Yes",L187="No")),T187=""),"Needs response review",IF(OR(L187="No",M187&gt;0,N187&gt;0,AND(ISNUMBER(R187),R187&lt;Dashboard!$B$5)),"FAIL","PASS"))))))))))))</f>
        <v/>
      </c>
      <c r="V187" s="11">
        <f>IF(B187="","",IFERROR(VLOOKUP(B187,'Test Cases'!$A$6:$J$205,7,FALSE),"Unknown Test ID"))</f>
        <v/>
      </c>
      <c r="W187" s="11">
        <f>IF(B187="","",IFERROR(VLOOKUP(B187,'Test Cases'!$A$6:$J$205,8,FALSE),"Unknown Test ID"))</f>
        <v/>
      </c>
    </row>
    <row r="188" spans="3:23">
      <c r="C188" s="11">
        <f>IF(B188="","",IFERROR(VLOOKUP(B188,'Test Cases'!$A$6:$J$205,2,FALSE),"Unknown Test ID"))</f>
        <v/>
      </c>
      <c r="D188" s="11">
        <f>IF(B188="","",IFERROR(VLOOKUP(B188,'Test Cases'!$A$6:$J$205,5,FALSE),"Unknown Test ID"))</f>
        <v/>
      </c>
      <c r="M188" s="11">
        <f>IF(A188="","",COUNTIFS('Claim Review'!$A$6:$A$2005,A188,'Claim Review'!$C$6:$C$2005,"&lt;&gt;",'Claim Review'!$G$6:$G$2005,"Wrong citation")+COUNTIFS('Claim Review'!$A$6:$A$2005,A188,'Claim Review'!$C$6:$C$2005,"&lt;&gt;",'Claim Review'!$G$6:$G$2005,"Missing citation"))</f>
        <v/>
      </c>
      <c r="N188" s="11">
        <f>IF(A188="","",COUNTIFS('Claim Review'!$A$6:$A$2005,A188,'Claim Review'!$C$6:$C$2005,"&lt;&gt;",'Claim Review'!$H$6:$H$2005,"Yes"))</f>
        <v/>
      </c>
      <c r="O188" s="11">
        <f>IF(A188="","",COUNTIFS('Claim Review'!$A$6:$A$2005,A188,'Claim Review'!$C$6:$C$2005,"&lt;&gt;"))</f>
        <v/>
      </c>
      <c r="P188" s="11">
        <f>IF(A188="","",COUNTIFS('Claim Review'!$A$6:$A$2005,A188,'Claim Review'!$C$6:$C$2005,"&lt;&gt;",'Claim Review'!$F$6:$F$2005,"Supported"))</f>
        <v/>
      </c>
      <c r="Q188" s="11">
        <f>IF(A188="","",O188-COUNTIFS('Claim Review'!$A$6:$A$2005,A188,'Claim Review'!$C$6:$C$2005,"&lt;&gt;",'Claim Review'!$K$6:$K$2005,"Yes"))</f>
        <v/>
      </c>
      <c r="R188" s="12">
        <f>IF(AND(A188&lt;&gt;"",COUNTIF($A$6:$A$205,A188)=1,COUNTIF('Test Cases'!$A$6:$A$205,B188)=1,I188&lt;&gt;"",J188&lt;&gt;"",OR(K188="Answered",K188="Clarification",K188="Abstained"),X188="Yes",T188&lt;&gt;"",O188&gt;0,Q188=0),P188/MAX(1,O188),"")</f>
        <v/>
      </c>
      <c r="S188" s="11">
        <f>IF(A188="","",IF(AND(J188="",K188=""),"Pending",IF(COUNTIF($A$6:$A$205,A188)&lt;&gt;1,"Duplicate Run ID",IF(COUNTIF('Test Cases'!$A$6:$A$205,B188)&lt;&gt;1,"Check Test ID",IF(K188="Error","FAIL",IF(OR(I188="",J188=""),"Needs evidence / answer",IF(NOT(OR(K188="Answered",K188="Clarification",K188="Abstained")),"Choose outcome",IF(X188&lt;&gt;"Yes","Confirm claim inventory",IF(AND(K188="Answered",O188=0),"Needs claims",IF(Q188&gt;0,"Needs claim review",IF(OR(NOT(OR(L188="Yes",L188="No")),T188=""),"Needs response review",IF(OR(L188="No",M188&gt;0,N188&gt;0,AND(ISNUMBER(R188),R188&lt;Dashboard!$B$5)),"FAIL","PASS"))))))))))))</f>
        <v/>
      </c>
      <c r="V188" s="11">
        <f>IF(B188="","",IFERROR(VLOOKUP(B188,'Test Cases'!$A$6:$J$205,7,FALSE),"Unknown Test ID"))</f>
        <v/>
      </c>
      <c r="W188" s="11">
        <f>IF(B188="","",IFERROR(VLOOKUP(B188,'Test Cases'!$A$6:$J$205,8,FALSE),"Unknown Test ID"))</f>
        <v/>
      </c>
    </row>
    <row r="189" spans="3:23">
      <c r="C189" s="11">
        <f>IF(B189="","",IFERROR(VLOOKUP(B189,'Test Cases'!$A$6:$J$205,2,FALSE),"Unknown Test ID"))</f>
        <v/>
      </c>
      <c r="D189" s="11">
        <f>IF(B189="","",IFERROR(VLOOKUP(B189,'Test Cases'!$A$6:$J$205,5,FALSE),"Unknown Test ID"))</f>
        <v/>
      </c>
      <c r="M189" s="11">
        <f>IF(A189="","",COUNTIFS('Claim Review'!$A$6:$A$2005,A189,'Claim Review'!$C$6:$C$2005,"&lt;&gt;",'Claim Review'!$G$6:$G$2005,"Wrong citation")+COUNTIFS('Claim Review'!$A$6:$A$2005,A189,'Claim Review'!$C$6:$C$2005,"&lt;&gt;",'Claim Review'!$G$6:$G$2005,"Missing citation"))</f>
        <v/>
      </c>
      <c r="N189" s="11">
        <f>IF(A189="","",COUNTIFS('Claim Review'!$A$6:$A$2005,A189,'Claim Review'!$C$6:$C$2005,"&lt;&gt;",'Claim Review'!$H$6:$H$2005,"Yes"))</f>
        <v/>
      </c>
      <c r="O189" s="11">
        <f>IF(A189="","",COUNTIFS('Claim Review'!$A$6:$A$2005,A189,'Claim Review'!$C$6:$C$2005,"&lt;&gt;"))</f>
        <v/>
      </c>
      <c r="P189" s="11">
        <f>IF(A189="","",COUNTIFS('Claim Review'!$A$6:$A$2005,A189,'Claim Review'!$C$6:$C$2005,"&lt;&gt;",'Claim Review'!$F$6:$F$2005,"Supported"))</f>
        <v/>
      </c>
      <c r="Q189" s="11">
        <f>IF(A189="","",O189-COUNTIFS('Claim Review'!$A$6:$A$2005,A189,'Claim Review'!$C$6:$C$2005,"&lt;&gt;",'Claim Review'!$K$6:$K$2005,"Yes"))</f>
        <v/>
      </c>
      <c r="R189" s="12">
        <f>IF(AND(A189&lt;&gt;"",COUNTIF($A$6:$A$205,A189)=1,COUNTIF('Test Cases'!$A$6:$A$205,B189)=1,I189&lt;&gt;"",J189&lt;&gt;"",OR(K189="Answered",K189="Clarification",K189="Abstained"),X189="Yes",T189&lt;&gt;"",O189&gt;0,Q189=0),P189/MAX(1,O189),"")</f>
        <v/>
      </c>
      <c r="S189" s="11">
        <f>IF(A189="","",IF(AND(J189="",K189=""),"Pending",IF(COUNTIF($A$6:$A$205,A189)&lt;&gt;1,"Duplicate Run ID",IF(COUNTIF('Test Cases'!$A$6:$A$205,B189)&lt;&gt;1,"Check Test ID",IF(K189="Error","FAIL",IF(OR(I189="",J189=""),"Needs evidence / answer",IF(NOT(OR(K189="Answered",K189="Clarification",K189="Abstained")),"Choose outcome",IF(X189&lt;&gt;"Yes","Confirm claim inventory",IF(AND(K189="Answered",O189=0),"Needs claims",IF(Q189&gt;0,"Needs claim review",IF(OR(NOT(OR(L189="Yes",L189="No")),T189=""),"Needs response review",IF(OR(L189="No",M189&gt;0,N189&gt;0,AND(ISNUMBER(R189),R189&lt;Dashboard!$B$5)),"FAIL","PASS"))))))))))))</f>
        <v/>
      </c>
      <c r="V189" s="11">
        <f>IF(B189="","",IFERROR(VLOOKUP(B189,'Test Cases'!$A$6:$J$205,7,FALSE),"Unknown Test ID"))</f>
        <v/>
      </c>
      <c r="W189" s="11">
        <f>IF(B189="","",IFERROR(VLOOKUP(B189,'Test Cases'!$A$6:$J$205,8,FALSE),"Unknown Test ID"))</f>
        <v/>
      </c>
    </row>
    <row r="190" spans="3:23">
      <c r="C190" s="11">
        <f>IF(B190="","",IFERROR(VLOOKUP(B190,'Test Cases'!$A$6:$J$205,2,FALSE),"Unknown Test ID"))</f>
        <v/>
      </c>
      <c r="D190" s="11">
        <f>IF(B190="","",IFERROR(VLOOKUP(B190,'Test Cases'!$A$6:$J$205,5,FALSE),"Unknown Test ID"))</f>
        <v/>
      </c>
      <c r="M190" s="11">
        <f>IF(A190="","",COUNTIFS('Claim Review'!$A$6:$A$2005,A190,'Claim Review'!$C$6:$C$2005,"&lt;&gt;",'Claim Review'!$G$6:$G$2005,"Wrong citation")+COUNTIFS('Claim Review'!$A$6:$A$2005,A190,'Claim Review'!$C$6:$C$2005,"&lt;&gt;",'Claim Review'!$G$6:$G$2005,"Missing citation"))</f>
        <v/>
      </c>
      <c r="N190" s="11">
        <f>IF(A190="","",COUNTIFS('Claim Review'!$A$6:$A$2005,A190,'Claim Review'!$C$6:$C$2005,"&lt;&gt;",'Claim Review'!$H$6:$H$2005,"Yes"))</f>
        <v/>
      </c>
      <c r="O190" s="11">
        <f>IF(A190="","",COUNTIFS('Claim Review'!$A$6:$A$2005,A190,'Claim Review'!$C$6:$C$2005,"&lt;&gt;"))</f>
        <v/>
      </c>
      <c r="P190" s="11">
        <f>IF(A190="","",COUNTIFS('Claim Review'!$A$6:$A$2005,A190,'Claim Review'!$C$6:$C$2005,"&lt;&gt;",'Claim Review'!$F$6:$F$2005,"Supported"))</f>
        <v/>
      </c>
      <c r="Q190" s="11">
        <f>IF(A190="","",O190-COUNTIFS('Claim Review'!$A$6:$A$2005,A190,'Claim Review'!$C$6:$C$2005,"&lt;&gt;",'Claim Review'!$K$6:$K$2005,"Yes"))</f>
        <v/>
      </c>
      <c r="R190" s="12">
        <f>IF(AND(A190&lt;&gt;"",COUNTIF($A$6:$A$205,A190)=1,COUNTIF('Test Cases'!$A$6:$A$205,B190)=1,I190&lt;&gt;"",J190&lt;&gt;"",OR(K190="Answered",K190="Clarification",K190="Abstained"),X190="Yes",T190&lt;&gt;"",O190&gt;0,Q190=0),P190/MAX(1,O190),"")</f>
        <v/>
      </c>
      <c r="S190" s="11">
        <f>IF(A190="","",IF(AND(J190="",K190=""),"Pending",IF(COUNTIF($A$6:$A$205,A190)&lt;&gt;1,"Duplicate Run ID",IF(COUNTIF('Test Cases'!$A$6:$A$205,B190)&lt;&gt;1,"Check Test ID",IF(K190="Error","FAIL",IF(OR(I190="",J190=""),"Needs evidence / answer",IF(NOT(OR(K190="Answered",K190="Clarification",K190="Abstained")),"Choose outcome",IF(X190&lt;&gt;"Yes","Confirm claim inventory",IF(AND(K190="Answered",O190=0),"Needs claims",IF(Q190&gt;0,"Needs claim review",IF(OR(NOT(OR(L190="Yes",L190="No")),T190=""),"Needs response review",IF(OR(L190="No",M190&gt;0,N190&gt;0,AND(ISNUMBER(R190),R190&lt;Dashboard!$B$5)),"FAIL","PASS"))))))))))))</f>
        <v/>
      </c>
      <c r="V190" s="11">
        <f>IF(B190="","",IFERROR(VLOOKUP(B190,'Test Cases'!$A$6:$J$205,7,FALSE),"Unknown Test ID"))</f>
        <v/>
      </c>
      <c r="W190" s="11">
        <f>IF(B190="","",IFERROR(VLOOKUP(B190,'Test Cases'!$A$6:$J$205,8,FALSE),"Unknown Test ID"))</f>
        <v/>
      </c>
    </row>
    <row r="191" spans="3:23">
      <c r="C191" s="11">
        <f>IF(B191="","",IFERROR(VLOOKUP(B191,'Test Cases'!$A$6:$J$205,2,FALSE),"Unknown Test ID"))</f>
        <v/>
      </c>
      <c r="D191" s="11">
        <f>IF(B191="","",IFERROR(VLOOKUP(B191,'Test Cases'!$A$6:$J$205,5,FALSE),"Unknown Test ID"))</f>
        <v/>
      </c>
      <c r="M191" s="11">
        <f>IF(A191="","",COUNTIFS('Claim Review'!$A$6:$A$2005,A191,'Claim Review'!$C$6:$C$2005,"&lt;&gt;",'Claim Review'!$G$6:$G$2005,"Wrong citation")+COUNTIFS('Claim Review'!$A$6:$A$2005,A191,'Claim Review'!$C$6:$C$2005,"&lt;&gt;",'Claim Review'!$G$6:$G$2005,"Missing citation"))</f>
        <v/>
      </c>
      <c r="N191" s="11">
        <f>IF(A191="","",COUNTIFS('Claim Review'!$A$6:$A$2005,A191,'Claim Review'!$C$6:$C$2005,"&lt;&gt;",'Claim Review'!$H$6:$H$2005,"Yes"))</f>
        <v/>
      </c>
      <c r="O191" s="11">
        <f>IF(A191="","",COUNTIFS('Claim Review'!$A$6:$A$2005,A191,'Claim Review'!$C$6:$C$2005,"&lt;&gt;"))</f>
        <v/>
      </c>
      <c r="P191" s="11">
        <f>IF(A191="","",COUNTIFS('Claim Review'!$A$6:$A$2005,A191,'Claim Review'!$C$6:$C$2005,"&lt;&gt;",'Claim Review'!$F$6:$F$2005,"Supported"))</f>
        <v/>
      </c>
      <c r="Q191" s="11">
        <f>IF(A191="","",O191-COUNTIFS('Claim Review'!$A$6:$A$2005,A191,'Claim Review'!$C$6:$C$2005,"&lt;&gt;",'Claim Review'!$K$6:$K$2005,"Yes"))</f>
        <v/>
      </c>
      <c r="R191" s="12">
        <f>IF(AND(A191&lt;&gt;"",COUNTIF($A$6:$A$205,A191)=1,COUNTIF('Test Cases'!$A$6:$A$205,B191)=1,I191&lt;&gt;"",J191&lt;&gt;"",OR(K191="Answered",K191="Clarification",K191="Abstained"),X191="Yes",T191&lt;&gt;"",O191&gt;0,Q191=0),P191/MAX(1,O191),"")</f>
        <v/>
      </c>
      <c r="S191" s="11">
        <f>IF(A191="","",IF(AND(J191="",K191=""),"Pending",IF(COUNTIF($A$6:$A$205,A191)&lt;&gt;1,"Duplicate Run ID",IF(COUNTIF('Test Cases'!$A$6:$A$205,B191)&lt;&gt;1,"Check Test ID",IF(K191="Error","FAIL",IF(OR(I191="",J191=""),"Needs evidence / answer",IF(NOT(OR(K191="Answered",K191="Clarification",K191="Abstained")),"Choose outcome",IF(X191&lt;&gt;"Yes","Confirm claim inventory",IF(AND(K191="Answered",O191=0),"Needs claims",IF(Q191&gt;0,"Needs claim review",IF(OR(NOT(OR(L191="Yes",L191="No")),T191=""),"Needs response review",IF(OR(L191="No",M191&gt;0,N191&gt;0,AND(ISNUMBER(R191),R191&lt;Dashboard!$B$5)),"FAIL","PASS"))))))))))))</f>
        <v/>
      </c>
      <c r="V191" s="11">
        <f>IF(B191="","",IFERROR(VLOOKUP(B191,'Test Cases'!$A$6:$J$205,7,FALSE),"Unknown Test ID"))</f>
        <v/>
      </c>
      <c r="W191" s="11">
        <f>IF(B191="","",IFERROR(VLOOKUP(B191,'Test Cases'!$A$6:$J$205,8,FALSE),"Unknown Test ID"))</f>
        <v/>
      </c>
    </row>
    <row r="192" spans="3:23">
      <c r="C192" s="11">
        <f>IF(B192="","",IFERROR(VLOOKUP(B192,'Test Cases'!$A$6:$J$205,2,FALSE),"Unknown Test ID"))</f>
        <v/>
      </c>
      <c r="D192" s="11">
        <f>IF(B192="","",IFERROR(VLOOKUP(B192,'Test Cases'!$A$6:$J$205,5,FALSE),"Unknown Test ID"))</f>
        <v/>
      </c>
      <c r="M192" s="11">
        <f>IF(A192="","",COUNTIFS('Claim Review'!$A$6:$A$2005,A192,'Claim Review'!$C$6:$C$2005,"&lt;&gt;",'Claim Review'!$G$6:$G$2005,"Wrong citation")+COUNTIFS('Claim Review'!$A$6:$A$2005,A192,'Claim Review'!$C$6:$C$2005,"&lt;&gt;",'Claim Review'!$G$6:$G$2005,"Missing citation"))</f>
        <v/>
      </c>
      <c r="N192" s="11">
        <f>IF(A192="","",COUNTIFS('Claim Review'!$A$6:$A$2005,A192,'Claim Review'!$C$6:$C$2005,"&lt;&gt;",'Claim Review'!$H$6:$H$2005,"Yes"))</f>
        <v/>
      </c>
      <c r="O192" s="11">
        <f>IF(A192="","",COUNTIFS('Claim Review'!$A$6:$A$2005,A192,'Claim Review'!$C$6:$C$2005,"&lt;&gt;"))</f>
        <v/>
      </c>
      <c r="P192" s="11">
        <f>IF(A192="","",COUNTIFS('Claim Review'!$A$6:$A$2005,A192,'Claim Review'!$C$6:$C$2005,"&lt;&gt;",'Claim Review'!$F$6:$F$2005,"Supported"))</f>
        <v/>
      </c>
      <c r="Q192" s="11">
        <f>IF(A192="","",O192-COUNTIFS('Claim Review'!$A$6:$A$2005,A192,'Claim Review'!$C$6:$C$2005,"&lt;&gt;",'Claim Review'!$K$6:$K$2005,"Yes"))</f>
        <v/>
      </c>
      <c r="R192" s="12">
        <f>IF(AND(A192&lt;&gt;"",COUNTIF($A$6:$A$205,A192)=1,COUNTIF('Test Cases'!$A$6:$A$205,B192)=1,I192&lt;&gt;"",J192&lt;&gt;"",OR(K192="Answered",K192="Clarification",K192="Abstained"),X192="Yes",T192&lt;&gt;"",O192&gt;0,Q192=0),P192/MAX(1,O192),"")</f>
        <v/>
      </c>
      <c r="S192" s="11">
        <f>IF(A192="","",IF(AND(J192="",K192=""),"Pending",IF(COUNTIF($A$6:$A$205,A192)&lt;&gt;1,"Duplicate Run ID",IF(COUNTIF('Test Cases'!$A$6:$A$205,B192)&lt;&gt;1,"Check Test ID",IF(K192="Error","FAIL",IF(OR(I192="",J192=""),"Needs evidence / answer",IF(NOT(OR(K192="Answered",K192="Clarification",K192="Abstained")),"Choose outcome",IF(X192&lt;&gt;"Yes","Confirm claim inventory",IF(AND(K192="Answered",O192=0),"Needs claims",IF(Q192&gt;0,"Needs claim review",IF(OR(NOT(OR(L192="Yes",L192="No")),T192=""),"Needs response review",IF(OR(L192="No",M192&gt;0,N192&gt;0,AND(ISNUMBER(R192),R192&lt;Dashboard!$B$5)),"FAIL","PASS"))))))))))))</f>
        <v/>
      </c>
      <c r="V192" s="11">
        <f>IF(B192="","",IFERROR(VLOOKUP(B192,'Test Cases'!$A$6:$J$205,7,FALSE),"Unknown Test ID"))</f>
        <v/>
      </c>
      <c r="W192" s="11">
        <f>IF(B192="","",IFERROR(VLOOKUP(B192,'Test Cases'!$A$6:$J$205,8,FALSE),"Unknown Test ID"))</f>
        <v/>
      </c>
    </row>
    <row r="193" spans="3:23">
      <c r="C193" s="11">
        <f>IF(B193="","",IFERROR(VLOOKUP(B193,'Test Cases'!$A$6:$J$205,2,FALSE),"Unknown Test ID"))</f>
        <v/>
      </c>
      <c r="D193" s="11">
        <f>IF(B193="","",IFERROR(VLOOKUP(B193,'Test Cases'!$A$6:$J$205,5,FALSE),"Unknown Test ID"))</f>
        <v/>
      </c>
      <c r="M193" s="11">
        <f>IF(A193="","",COUNTIFS('Claim Review'!$A$6:$A$2005,A193,'Claim Review'!$C$6:$C$2005,"&lt;&gt;",'Claim Review'!$G$6:$G$2005,"Wrong citation")+COUNTIFS('Claim Review'!$A$6:$A$2005,A193,'Claim Review'!$C$6:$C$2005,"&lt;&gt;",'Claim Review'!$G$6:$G$2005,"Missing citation"))</f>
        <v/>
      </c>
      <c r="N193" s="11">
        <f>IF(A193="","",COUNTIFS('Claim Review'!$A$6:$A$2005,A193,'Claim Review'!$C$6:$C$2005,"&lt;&gt;",'Claim Review'!$H$6:$H$2005,"Yes"))</f>
        <v/>
      </c>
      <c r="O193" s="11">
        <f>IF(A193="","",COUNTIFS('Claim Review'!$A$6:$A$2005,A193,'Claim Review'!$C$6:$C$2005,"&lt;&gt;"))</f>
        <v/>
      </c>
      <c r="P193" s="11">
        <f>IF(A193="","",COUNTIFS('Claim Review'!$A$6:$A$2005,A193,'Claim Review'!$C$6:$C$2005,"&lt;&gt;",'Claim Review'!$F$6:$F$2005,"Supported"))</f>
        <v/>
      </c>
      <c r="Q193" s="11">
        <f>IF(A193="","",O193-COUNTIFS('Claim Review'!$A$6:$A$2005,A193,'Claim Review'!$C$6:$C$2005,"&lt;&gt;",'Claim Review'!$K$6:$K$2005,"Yes"))</f>
        <v/>
      </c>
      <c r="R193" s="12">
        <f>IF(AND(A193&lt;&gt;"",COUNTIF($A$6:$A$205,A193)=1,COUNTIF('Test Cases'!$A$6:$A$205,B193)=1,I193&lt;&gt;"",J193&lt;&gt;"",OR(K193="Answered",K193="Clarification",K193="Abstained"),X193="Yes",T193&lt;&gt;"",O193&gt;0,Q193=0),P193/MAX(1,O193),"")</f>
        <v/>
      </c>
      <c r="S193" s="11">
        <f>IF(A193="","",IF(AND(J193="",K193=""),"Pending",IF(COUNTIF($A$6:$A$205,A193)&lt;&gt;1,"Duplicate Run ID",IF(COUNTIF('Test Cases'!$A$6:$A$205,B193)&lt;&gt;1,"Check Test ID",IF(K193="Error","FAIL",IF(OR(I193="",J193=""),"Needs evidence / answer",IF(NOT(OR(K193="Answered",K193="Clarification",K193="Abstained")),"Choose outcome",IF(X193&lt;&gt;"Yes","Confirm claim inventory",IF(AND(K193="Answered",O193=0),"Needs claims",IF(Q193&gt;0,"Needs claim review",IF(OR(NOT(OR(L193="Yes",L193="No")),T193=""),"Needs response review",IF(OR(L193="No",M193&gt;0,N193&gt;0,AND(ISNUMBER(R193),R193&lt;Dashboard!$B$5)),"FAIL","PASS"))))))))))))</f>
        <v/>
      </c>
      <c r="V193" s="11">
        <f>IF(B193="","",IFERROR(VLOOKUP(B193,'Test Cases'!$A$6:$J$205,7,FALSE),"Unknown Test ID"))</f>
        <v/>
      </c>
      <c r="W193" s="11">
        <f>IF(B193="","",IFERROR(VLOOKUP(B193,'Test Cases'!$A$6:$J$205,8,FALSE),"Unknown Test ID"))</f>
        <v/>
      </c>
    </row>
    <row r="194" spans="3:23">
      <c r="C194" s="11">
        <f>IF(B194="","",IFERROR(VLOOKUP(B194,'Test Cases'!$A$6:$J$205,2,FALSE),"Unknown Test ID"))</f>
        <v/>
      </c>
      <c r="D194" s="11">
        <f>IF(B194="","",IFERROR(VLOOKUP(B194,'Test Cases'!$A$6:$J$205,5,FALSE),"Unknown Test ID"))</f>
        <v/>
      </c>
      <c r="M194" s="11">
        <f>IF(A194="","",COUNTIFS('Claim Review'!$A$6:$A$2005,A194,'Claim Review'!$C$6:$C$2005,"&lt;&gt;",'Claim Review'!$G$6:$G$2005,"Wrong citation")+COUNTIFS('Claim Review'!$A$6:$A$2005,A194,'Claim Review'!$C$6:$C$2005,"&lt;&gt;",'Claim Review'!$G$6:$G$2005,"Missing citation"))</f>
        <v/>
      </c>
      <c r="N194" s="11">
        <f>IF(A194="","",COUNTIFS('Claim Review'!$A$6:$A$2005,A194,'Claim Review'!$C$6:$C$2005,"&lt;&gt;",'Claim Review'!$H$6:$H$2005,"Yes"))</f>
        <v/>
      </c>
      <c r="O194" s="11">
        <f>IF(A194="","",COUNTIFS('Claim Review'!$A$6:$A$2005,A194,'Claim Review'!$C$6:$C$2005,"&lt;&gt;"))</f>
        <v/>
      </c>
      <c r="P194" s="11">
        <f>IF(A194="","",COUNTIFS('Claim Review'!$A$6:$A$2005,A194,'Claim Review'!$C$6:$C$2005,"&lt;&gt;",'Claim Review'!$F$6:$F$2005,"Supported"))</f>
        <v/>
      </c>
      <c r="Q194" s="11">
        <f>IF(A194="","",O194-COUNTIFS('Claim Review'!$A$6:$A$2005,A194,'Claim Review'!$C$6:$C$2005,"&lt;&gt;",'Claim Review'!$K$6:$K$2005,"Yes"))</f>
        <v/>
      </c>
      <c r="R194" s="12">
        <f>IF(AND(A194&lt;&gt;"",COUNTIF($A$6:$A$205,A194)=1,COUNTIF('Test Cases'!$A$6:$A$205,B194)=1,I194&lt;&gt;"",J194&lt;&gt;"",OR(K194="Answered",K194="Clarification",K194="Abstained"),X194="Yes",T194&lt;&gt;"",O194&gt;0,Q194=0),P194/MAX(1,O194),"")</f>
        <v/>
      </c>
      <c r="S194" s="11">
        <f>IF(A194="","",IF(AND(J194="",K194=""),"Pending",IF(COUNTIF($A$6:$A$205,A194)&lt;&gt;1,"Duplicate Run ID",IF(COUNTIF('Test Cases'!$A$6:$A$205,B194)&lt;&gt;1,"Check Test ID",IF(K194="Error","FAIL",IF(OR(I194="",J194=""),"Needs evidence / answer",IF(NOT(OR(K194="Answered",K194="Clarification",K194="Abstained")),"Choose outcome",IF(X194&lt;&gt;"Yes","Confirm claim inventory",IF(AND(K194="Answered",O194=0),"Needs claims",IF(Q194&gt;0,"Needs claim review",IF(OR(NOT(OR(L194="Yes",L194="No")),T194=""),"Needs response review",IF(OR(L194="No",M194&gt;0,N194&gt;0,AND(ISNUMBER(R194),R194&lt;Dashboard!$B$5)),"FAIL","PASS"))))))))))))</f>
        <v/>
      </c>
      <c r="V194" s="11">
        <f>IF(B194="","",IFERROR(VLOOKUP(B194,'Test Cases'!$A$6:$J$205,7,FALSE),"Unknown Test ID"))</f>
        <v/>
      </c>
      <c r="W194" s="11">
        <f>IF(B194="","",IFERROR(VLOOKUP(B194,'Test Cases'!$A$6:$J$205,8,FALSE),"Unknown Test ID"))</f>
        <v/>
      </c>
    </row>
    <row r="195" spans="3:23">
      <c r="C195" s="11">
        <f>IF(B195="","",IFERROR(VLOOKUP(B195,'Test Cases'!$A$6:$J$205,2,FALSE),"Unknown Test ID"))</f>
        <v/>
      </c>
      <c r="D195" s="11">
        <f>IF(B195="","",IFERROR(VLOOKUP(B195,'Test Cases'!$A$6:$J$205,5,FALSE),"Unknown Test ID"))</f>
        <v/>
      </c>
      <c r="M195" s="11">
        <f>IF(A195="","",COUNTIFS('Claim Review'!$A$6:$A$2005,A195,'Claim Review'!$C$6:$C$2005,"&lt;&gt;",'Claim Review'!$G$6:$G$2005,"Wrong citation")+COUNTIFS('Claim Review'!$A$6:$A$2005,A195,'Claim Review'!$C$6:$C$2005,"&lt;&gt;",'Claim Review'!$G$6:$G$2005,"Missing citation"))</f>
        <v/>
      </c>
      <c r="N195" s="11">
        <f>IF(A195="","",COUNTIFS('Claim Review'!$A$6:$A$2005,A195,'Claim Review'!$C$6:$C$2005,"&lt;&gt;",'Claim Review'!$H$6:$H$2005,"Yes"))</f>
        <v/>
      </c>
      <c r="O195" s="11">
        <f>IF(A195="","",COUNTIFS('Claim Review'!$A$6:$A$2005,A195,'Claim Review'!$C$6:$C$2005,"&lt;&gt;"))</f>
        <v/>
      </c>
      <c r="P195" s="11">
        <f>IF(A195="","",COUNTIFS('Claim Review'!$A$6:$A$2005,A195,'Claim Review'!$C$6:$C$2005,"&lt;&gt;",'Claim Review'!$F$6:$F$2005,"Supported"))</f>
        <v/>
      </c>
      <c r="Q195" s="11">
        <f>IF(A195="","",O195-COUNTIFS('Claim Review'!$A$6:$A$2005,A195,'Claim Review'!$C$6:$C$2005,"&lt;&gt;",'Claim Review'!$K$6:$K$2005,"Yes"))</f>
        <v/>
      </c>
      <c r="R195" s="12">
        <f>IF(AND(A195&lt;&gt;"",COUNTIF($A$6:$A$205,A195)=1,COUNTIF('Test Cases'!$A$6:$A$205,B195)=1,I195&lt;&gt;"",J195&lt;&gt;"",OR(K195="Answered",K195="Clarification",K195="Abstained"),X195="Yes",T195&lt;&gt;"",O195&gt;0,Q195=0),P195/MAX(1,O195),"")</f>
        <v/>
      </c>
      <c r="S195" s="11">
        <f>IF(A195="","",IF(AND(J195="",K195=""),"Pending",IF(COUNTIF($A$6:$A$205,A195)&lt;&gt;1,"Duplicate Run ID",IF(COUNTIF('Test Cases'!$A$6:$A$205,B195)&lt;&gt;1,"Check Test ID",IF(K195="Error","FAIL",IF(OR(I195="",J195=""),"Needs evidence / answer",IF(NOT(OR(K195="Answered",K195="Clarification",K195="Abstained")),"Choose outcome",IF(X195&lt;&gt;"Yes","Confirm claim inventory",IF(AND(K195="Answered",O195=0),"Needs claims",IF(Q195&gt;0,"Needs claim review",IF(OR(NOT(OR(L195="Yes",L195="No")),T195=""),"Needs response review",IF(OR(L195="No",M195&gt;0,N195&gt;0,AND(ISNUMBER(R195),R195&lt;Dashboard!$B$5)),"FAIL","PASS"))))))))))))</f>
        <v/>
      </c>
      <c r="V195" s="11">
        <f>IF(B195="","",IFERROR(VLOOKUP(B195,'Test Cases'!$A$6:$J$205,7,FALSE),"Unknown Test ID"))</f>
        <v/>
      </c>
      <c r="W195" s="11">
        <f>IF(B195="","",IFERROR(VLOOKUP(B195,'Test Cases'!$A$6:$J$205,8,FALSE),"Unknown Test ID"))</f>
        <v/>
      </c>
    </row>
    <row r="196" spans="3:23">
      <c r="C196" s="11">
        <f>IF(B196="","",IFERROR(VLOOKUP(B196,'Test Cases'!$A$6:$J$205,2,FALSE),"Unknown Test ID"))</f>
        <v/>
      </c>
      <c r="D196" s="11">
        <f>IF(B196="","",IFERROR(VLOOKUP(B196,'Test Cases'!$A$6:$J$205,5,FALSE),"Unknown Test ID"))</f>
        <v/>
      </c>
      <c r="M196" s="11">
        <f>IF(A196="","",COUNTIFS('Claim Review'!$A$6:$A$2005,A196,'Claim Review'!$C$6:$C$2005,"&lt;&gt;",'Claim Review'!$G$6:$G$2005,"Wrong citation")+COUNTIFS('Claim Review'!$A$6:$A$2005,A196,'Claim Review'!$C$6:$C$2005,"&lt;&gt;",'Claim Review'!$G$6:$G$2005,"Missing citation"))</f>
        <v/>
      </c>
      <c r="N196" s="11">
        <f>IF(A196="","",COUNTIFS('Claim Review'!$A$6:$A$2005,A196,'Claim Review'!$C$6:$C$2005,"&lt;&gt;",'Claim Review'!$H$6:$H$2005,"Yes"))</f>
        <v/>
      </c>
      <c r="O196" s="11">
        <f>IF(A196="","",COUNTIFS('Claim Review'!$A$6:$A$2005,A196,'Claim Review'!$C$6:$C$2005,"&lt;&gt;"))</f>
        <v/>
      </c>
      <c r="P196" s="11">
        <f>IF(A196="","",COUNTIFS('Claim Review'!$A$6:$A$2005,A196,'Claim Review'!$C$6:$C$2005,"&lt;&gt;",'Claim Review'!$F$6:$F$2005,"Supported"))</f>
        <v/>
      </c>
      <c r="Q196" s="11">
        <f>IF(A196="","",O196-COUNTIFS('Claim Review'!$A$6:$A$2005,A196,'Claim Review'!$C$6:$C$2005,"&lt;&gt;",'Claim Review'!$K$6:$K$2005,"Yes"))</f>
        <v/>
      </c>
      <c r="R196" s="12">
        <f>IF(AND(A196&lt;&gt;"",COUNTIF($A$6:$A$205,A196)=1,COUNTIF('Test Cases'!$A$6:$A$205,B196)=1,I196&lt;&gt;"",J196&lt;&gt;"",OR(K196="Answered",K196="Clarification",K196="Abstained"),X196="Yes",T196&lt;&gt;"",O196&gt;0,Q196=0),P196/MAX(1,O196),"")</f>
        <v/>
      </c>
      <c r="S196" s="11">
        <f>IF(A196="","",IF(AND(J196="",K196=""),"Pending",IF(COUNTIF($A$6:$A$205,A196)&lt;&gt;1,"Duplicate Run ID",IF(COUNTIF('Test Cases'!$A$6:$A$205,B196)&lt;&gt;1,"Check Test ID",IF(K196="Error","FAIL",IF(OR(I196="",J196=""),"Needs evidence / answer",IF(NOT(OR(K196="Answered",K196="Clarification",K196="Abstained")),"Choose outcome",IF(X196&lt;&gt;"Yes","Confirm claim inventory",IF(AND(K196="Answered",O196=0),"Needs claims",IF(Q196&gt;0,"Needs claim review",IF(OR(NOT(OR(L196="Yes",L196="No")),T196=""),"Needs response review",IF(OR(L196="No",M196&gt;0,N196&gt;0,AND(ISNUMBER(R196),R196&lt;Dashboard!$B$5)),"FAIL","PASS"))))))))))))</f>
        <v/>
      </c>
      <c r="V196" s="11">
        <f>IF(B196="","",IFERROR(VLOOKUP(B196,'Test Cases'!$A$6:$J$205,7,FALSE),"Unknown Test ID"))</f>
        <v/>
      </c>
      <c r="W196" s="11">
        <f>IF(B196="","",IFERROR(VLOOKUP(B196,'Test Cases'!$A$6:$J$205,8,FALSE),"Unknown Test ID"))</f>
        <v/>
      </c>
    </row>
    <row r="197" spans="3:23">
      <c r="C197" s="11">
        <f>IF(B197="","",IFERROR(VLOOKUP(B197,'Test Cases'!$A$6:$J$205,2,FALSE),"Unknown Test ID"))</f>
        <v/>
      </c>
      <c r="D197" s="11">
        <f>IF(B197="","",IFERROR(VLOOKUP(B197,'Test Cases'!$A$6:$J$205,5,FALSE),"Unknown Test ID"))</f>
        <v/>
      </c>
      <c r="M197" s="11">
        <f>IF(A197="","",COUNTIFS('Claim Review'!$A$6:$A$2005,A197,'Claim Review'!$C$6:$C$2005,"&lt;&gt;",'Claim Review'!$G$6:$G$2005,"Wrong citation")+COUNTIFS('Claim Review'!$A$6:$A$2005,A197,'Claim Review'!$C$6:$C$2005,"&lt;&gt;",'Claim Review'!$G$6:$G$2005,"Missing citation"))</f>
        <v/>
      </c>
      <c r="N197" s="11">
        <f>IF(A197="","",COUNTIFS('Claim Review'!$A$6:$A$2005,A197,'Claim Review'!$C$6:$C$2005,"&lt;&gt;",'Claim Review'!$H$6:$H$2005,"Yes"))</f>
        <v/>
      </c>
      <c r="O197" s="11">
        <f>IF(A197="","",COUNTIFS('Claim Review'!$A$6:$A$2005,A197,'Claim Review'!$C$6:$C$2005,"&lt;&gt;"))</f>
        <v/>
      </c>
      <c r="P197" s="11">
        <f>IF(A197="","",COUNTIFS('Claim Review'!$A$6:$A$2005,A197,'Claim Review'!$C$6:$C$2005,"&lt;&gt;",'Claim Review'!$F$6:$F$2005,"Supported"))</f>
        <v/>
      </c>
      <c r="Q197" s="11">
        <f>IF(A197="","",O197-COUNTIFS('Claim Review'!$A$6:$A$2005,A197,'Claim Review'!$C$6:$C$2005,"&lt;&gt;",'Claim Review'!$K$6:$K$2005,"Yes"))</f>
        <v/>
      </c>
      <c r="R197" s="12">
        <f>IF(AND(A197&lt;&gt;"",COUNTIF($A$6:$A$205,A197)=1,COUNTIF('Test Cases'!$A$6:$A$205,B197)=1,I197&lt;&gt;"",J197&lt;&gt;"",OR(K197="Answered",K197="Clarification",K197="Abstained"),X197="Yes",T197&lt;&gt;"",O197&gt;0,Q197=0),P197/MAX(1,O197),"")</f>
        <v/>
      </c>
      <c r="S197" s="11">
        <f>IF(A197="","",IF(AND(J197="",K197=""),"Pending",IF(COUNTIF($A$6:$A$205,A197)&lt;&gt;1,"Duplicate Run ID",IF(COUNTIF('Test Cases'!$A$6:$A$205,B197)&lt;&gt;1,"Check Test ID",IF(K197="Error","FAIL",IF(OR(I197="",J197=""),"Needs evidence / answer",IF(NOT(OR(K197="Answered",K197="Clarification",K197="Abstained")),"Choose outcome",IF(X197&lt;&gt;"Yes","Confirm claim inventory",IF(AND(K197="Answered",O197=0),"Needs claims",IF(Q197&gt;0,"Needs claim review",IF(OR(NOT(OR(L197="Yes",L197="No")),T197=""),"Needs response review",IF(OR(L197="No",M197&gt;0,N197&gt;0,AND(ISNUMBER(R197),R197&lt;Dashboard!$B$5)),"FAIL","PASS"))))))))))))</f>
        <v/>
      </c>
      <c r="V197" s="11">
        <f>IF(B197="","",IFERROR(VLOOKUP(B197,'Test Cases'!$A$6:$J$205,7,FALSE),"Unknown Test ID"))</f>
        <v/>
      </c>
      <c r="W197" s="11">
        <f>IF(B197="","",IFERROR(VLOOKUP(B197,'Test Cases'!$A$6:$J$205,8,FALSE),"Unknown Test ID"))</f>
        <v/>
      </c>
    </row>
    <row r="198" spans="3:23">
      <c r="C198" s="11">
        <f>IF(B198="","",IFERROR(VLOOKUP(B198,'Test Cases'!$A$6:$J$205,2,FALSE),"Unknown Test ID"))</f>
        <v/>
      </c>
      <c r="D198" s="11">
        <f>IF(B198="","",IFERROR(VLOOKUP(B198,'Test Cases'!$A$6:$J$205,5,FALSE),"Unknown Test ID"))</f>
        <v/>
      </c>
      <c r="M198" s="11">
        <f>IF(A198="","",COUNTIFS('Claim Review'!$A$6:$A$2005,A198,'Claim Review'!$C$6:$C$2005,"&lt;&gt;",'Claim Review'!$G$6:$G$2005,"Wrong citation")+COUNTIFS('Claim Review'!$A$6:$A$2005,A198,'Claim Review'!$C$6:$C$2005,"&lt;&gt;",'Claim Review'!$G$6:$G$2005,"Missing citation"))</f>
        <v/>
      </c>
      <c r="N198" s="11">
        <f>IF(A198="","",COUNTIFS('Claim Review'!$A$6:$A$2005,A198,'Claim Review'!$C$6:$C$2005,"&lt;&gt;",'Claim Review'!$H$6:$H$2005,"Yes"))</f>
        <v/>
      </c>
      <c r="O198" s="11">
        <f>IF(A198="","",COUNTIFS('Claim Review'!$A$6:$A$2005,A198,'Claim Review'!$C$6:$C$2005,"&lt;&gt;"))</f>
        <v/>
      </c>
      <c r="P198" s="11">
        <f>IF(A198="","",COUNTIFS('Claim Review'!$A$6:$A$2005,A198,'Claim Review'!$C$6:$C$2005,"&lt;&gt;",'Claim Review'!$F$6:$F$2005,"Supported"))</f>
        <v/>
      </c>
      <c r="Q198" s="11">
        <f>IF(A198="","",O198-COUNTIFS('Claim Review'!$A$6:$A$2005,A198,'Claim Review'!$C$6:$C$2005,"&lt;&gt;",'Claim Review'!$K$6:$K$2005,"Yes"))</f>
        <v/>
      </c>
      <c r="R198" s="12">
        <f>IF(AND(A198&lt;&gt;"",COUNTIF($A$6:$A$205,A198)=1,COUNTIF('Test Cases'!$A$6:$A$205,B198)=1,I198&lt;&gt;"",J198&lt;&gt;"",OR(K198="Answered",K198="Clarification",K198="Abstained"),X198="Yes",T198&lt;&gt;"",O198&gt;0,Q198=0),P198/MAX(1,O198),"")</f>
        <v/>
      </c>
      <c r="S198" s="11">
        <f>IF(A198="","",IF(AND(J198="",K198=""),"Pending",IF(COUNTIF($A$6:$A$205,A198)&lt;&gt;1,"Duplicate Run ID",IF(COUNTIF('Test Cases'!$A$6:$A$205,B198)&lt;&gt;1,"Check Test ID",IF(K198="Error","FAIL",IF(OR(I198="",J198=""),"Needs evidence / answer",IF(NOT(OR(K198="Answered",K198="Clarification",K198="Abstained")),"Choose outcome",IF(X198&lt;&gt;"Yes","Confirm claim inventory",IF(AND(K198="Answered",O198=0),"Needs claims",IF(Q198&gt;0,"Needs claim review",IF(OR(NOT(OR(L198="Yes",L198="No")),T198=""),"Needs response review",IF(OR(L198="No",M198&gt;0,N198&gt;0,AND(ISNUMBER(R198),R198&lt;Dashboard!$B$5)),"FAIL","PASS"))))))))))))</f>
        <v/>
      </c>
      <c r="V198" s="11">
        <f>IF(B198="","",IFERROR(VLOOKUP(B198,'Test Cases'!$A$6:$J$205,7,FALSE),"Unknown Test ID"))</f>
        <v/>
      </c>
      <c r="W198" s="11">
        <f>IF(B198="","",IFERROR(VLOOKUP(B198,'Test Cases'!$A$6:$J$205,8,FALSE),"Unknown Test ID"))</f>
        <v/>
      </c>
    </row>
    <row r="199" spans="3:23">
      <c r="C199" s="11">
        <f>IF(B199="","",IFERROR(VLOOKUP(B199,'Test Cases'!$A$6:$J$205,2,FALSE),"Unknown Test ID"))</f>
        <v/>
      </c>
      <c r="D199" s="11">
        <f>IF(B199="","",IFERROR(VLOOKUP(B199,'Test Cases'!$A$6:$J$205,5,FALSE),"Unknown Test ID"))</f>
        <v/>
      </c>
      <c r="M199" s="11">
        <f>IF(A199="","",COUNTIFS('Claim Review'!$A$6:$A$2005,A199,'Claim Review'!$C$6:$C$2005,"&lt;&gt;",'Claim Review'!$G$6:$G$2005,"Wrong citation")+COUNTIFS('Claim Review'!$A$6:$A$2005,A199,'Claim Review'!$C$6:$C$2005,"&lt;&gt;",'Claim Review'!$G$6:$G$2005,"Missing citation"))</f>
        <v/>
      </c>
      <c r="N199" s="11">
        <f>IF(A199="","",COUNTIFS('Claim Review'!$A$6:$A$2005,A199,'Claim Review'!$C$6:$C$2005,"&lt;&gt;",'Claim Review'!$H$6:$H$2005,"Yes"))</f>
        <v/>
      </c>
      <c r="O199" s="11">
        <f>IF(A199="","",COUNTIFS('Claim Review'!$A$6:$A$2005,A199,'Claim Review'!$C$6:$C$2005,"&lt;&gt;"))</f>
        <v/>
      </c>
      <c r="P199" s="11">
        <f>IF(A199="","",COUNTIFS('Claim Review'!$A$6:$A$2005,A199,'Claim Review'!$C$6:$C$2005,"&lt;&gt;",'Claim Review'!$F$6:$F$2005,"Supported"))</f>
        <v/>
      </c>
      <c r="Q199" s="11">
        <f>IF(A199="","",O199-COUNTIFS('Claim Review'!$A$6:$A$2005,A199,'Claim Review'!$C$6:$C$2005,"&lt;&gt;",'Claim Review'!$K$6:$K$2005,"Yes"))</f>
        <v/>
      </c>
      <c r="R199" s="12">
        <f>IF(AND(A199&lt;&gt;"",COUNTIF($A$6:$A$205,A199)=1,COUNTIF('Test Cases'!$A$6:$A$205,B199)=1,I199&lt;&gt;"",J199&lt;&gt;"",OR(K199="Answered",K199="Clarification",K199="Abstained"),X199="Yes",T199&lt;&gt;"",O199&gt;0,Q199=0),P199/MAX(1,O199),"")</f>
        <v/>
      </c>
      <c r="S199" s="11">
        <f>IF(A199="","",IF(AND(J199="",K199=""),"Pending",IF(COUNTIF($A$6:$A$205,A199)&lt;&gt;1,"Duplicate Run ID",IF(COUNTIF('Test Cases'!$A$6:$A$205,B199)&lt;&gt;1,"Check Test ID",IF(K199="Error","FAIL",IF(OR(I199="",J199=""),"Needs evidence / answer",IF(NOT(OR(K199="Answered",K199="Clarification",K199="Abstained")),"Choose outcome",IF(X199&lt;&gt;"Yes","Confirm claim inventory",IF(AND(K199="Answered",O199=0),"Needs claims",IF(Q199&gt;0,"Needs claim review",IF(OR(NOT(OR(L199="Yes",L199="No")),T199=""),"Needs response review",IF(OR(L199="No",M199&gt;0,N199&gt;0,AND(ISNUMBER(R199),R199&lt;Dashboard!$B$5)),"FAIL","PASS"))))))))))))</f>
        <v/>
      </c>
      <c r="V199" s="11">
        <f>IF(B199="","",IFERROR(VLOOKUP(B199,'Test Cases'!$A$6:$J$205,7,FALSE),"Unknown Test ID"))</f>
        <v/>
      </c>
      <c r="W199" s="11">
        <f>IF(B199="","",IFERROR(VLOOKUP(B199,'Test Cases'!$A$6:$J$205,8,FALSE),"Unknown Test ID"))</f>
        <v/>
      </c>
    </row>
    <row r="200" spans="3:23">
      <c r="C200" s="11">
        <f>IF(B200="","",IFERROR(VLOOKUP(B200,'Test Cases'!$A$6:$J$205,2,FALSE),"Unknown Test ID"))</f>
        <v/>
      </c>
      <c r="D200" s="11">
        <f>IF(B200="","",IFERROR(VLOOKUP(B200,'Test Cases'!$A$6:$J$205,5,FALSE),"Unknown Test ID"))</f>
        <v/>
      </c>
      <c r="M200" s="11">
        <f>IF(A200="","",COUNTIFS('Claim Review'!$A$6:$A$2005,A200,'Claim Review'!$C$6:$C$2005,"&lt;&gt;",'Claim Review'!$G$6:$G$2005,"Wrong citation")+COUNTIFS('Claim Review'!$A$6:$A$2005,A200,'Claim Review'!$C$6:$C$2005,"&lt;&gt;",'Claim Review'!$G$6:$G$2005,"Missing citation"))</f>
        <v/>
      </c>
      <c r="N200" s="11">
        <f>IF(A200="","",COUNTIFS('Claim Review'!$A$6:$A$2005,A200,'Claim Review'!$C$6:$C$2005,"&lt;&gt;",'Claim Review'!$H$6:$H$2005,"Yes"))</f>
        <v/>
      </c>
      <c r="O200" s="11">
        <f>IF(A200="","",COUNTIFS('Claim Review'!$A$6:$A$2005,A200,'Claim Review'!$C$6:$C$2005,"&lt;&gt;"))</f>
        <v/>
      </c>
      <c r="P200" s="11">
        <f>IF(A200="","",COUNTIFS('Claim Review'!$A$6:$A$2005,A200,'Claim Review'!$C$6:$C$2005,"&lt;&gt;",'Claim Review'!$F$6:$F$2005,"Supported"))</f>
        <v/>
      </c>
      <c r="Q200" s="11">
        <f>IF(A200="","",O200-COUNTIFS('Claim Review'!$A$6:$A$2005,A200,'Claim Review'!$C$6:$C$2005,"&lt;&gt;",'Claim Review'!$K$6:$K$2005,"Yes"))</f>
        <v/>
      </c>
      <c r="R200" s="12">
        <f>IF(AND(A200&lt;&gt;"",COUNTIF($A$6:$A$205,A200)=1,COUNTIF('Test Cases'!$A$6:$A$205,B200)=1,I200&lt;&gt;"",J200&lt;&gt;"",OR(K200="Answered",K200="Clarification",K200="Abstained"),X200="Yes",T200&lt;&gt;"",O200&gt;0,Q200=0),P200/MAX(1,O200),"")</f>
        <v/>
      </c>
      <c r="S200" s="11">
        <f>IF(A200="","",IF(AND(J200="",K200=""),"Pending",IF(COUNTIF($A$6:$A$205,A200)&lt;&gt;1,"Duplicate Run ID",IF(COUNTIF('Test Cases'!$A$6:$A$205,B200)&lt;&gt;1,"Check Test ID",IF(K200="Error","FAIL",IF(OR(I200="",J200=""),"Needs evidence / answer",IF(NOT(OR(K200="Answered",K200="Clarification",K200="Abstained")),"Choose outcome",IF(X200&lt;&gt;"Yes","Confirm claim inventory",IF(AND(K200="Answered",O200=0),"Needs claims",IF(Q200&gt;0,"Needs claim review",IF(OR(NOT(OR(L200="Yes",L200="No")),T200=""),"Needs response review",IF(OR(L200="No",M200&gt;0,N200&gt;0,AND(ISNUMBER(R200),R200&lt;Dashboard!$B$5)),"FAIL","PASS"))))))))))))</f>
        <v/>
      </c>
      <c r="V200" s="11">
        <f>IF(B200="","",IFERROR(VLOOKUP(B200,'Test Cases'!$A$6:$J$205,7,FALSE),"Unknown Test ID"))</f>
        <v/>
      </c>
      <c r="W200" s="11">
        <f>IF(B200="","",IFERROR(VLOOKUP(B200,'Test Cases'!$A$6:$J$205,8,FALSE),"Unknown Test ID"))</f>
        <v/>
      </c>
    </row>
    <row r="201" spans="3:23">
      <c r="C201" s="11">
        <f>IF(B201="","",IFERROR(VLOOKUP(B201,'Test Cases'!$A$6:$J$205,2,FALSE),"Unknown Test ID"))</f>
        <v/>
      </c>
      <c r="D201" s="11">
        <f>IF(B201="","",IFERROR(VLOOKUP(B201,'Test Cases'!$A$6:$J$205,5,FALSE),"Unknown Test ID"))</f>
        <v/>
      </c>
      <c r="M201" s="11">
        <f>IF(A201="","",COUNTIFS('Claim Review'!$A$6:$A$2005,A201,'Claim Review'!$C$6:$C$2005,"&lt;&gt;",'Claim Review'!$G$6:$G$2005,"Wrong citation")+COUNTIFS('Claim Review'!$A$6:$A$2005,A201,'Claim Review'!$C$6:$C$2005,"&lt;&gt;",'Claim Review'!$G$6:$G$2005,"Missing citation"))</f>
        <v/>
      </c>
      <c r="N201" s="11">
        <f>IF(A201="","",COUNTIFS('Claim Review'!$A$6:$A$2005,A201,'Claim Review'!$C$6:$C$2005,"&lt;&gt;",'Claim Review'!$H$6:$H$2005,"Yes"))</f>
        <v/>
      </c>
      <c r="O201" s="11">
        <f>IF(A201="","",COUNTIFS('Claim Review'!$A$6:$A$2005,A201,'Claim Review'!$C$6:$C$2005,"&lt;&gt;"))</f>
        <v/>
      </c>
      <c r="P201" s="11">
        <f>IF(A201="","",COUNTIFS('Claim Review'!$A$6:$A$2005,A201,'Claim Review'!$C$6:$C$2005,"&lt;&gt;",'Claim Review'!$F$6:$F$2005,"Supported"))</f>
        <v/>
      </c>
      <c r="Q201" s="11">
        <f>IF(A201="","",O201-COUNTIFS('Claim Review'!$A$6:$A$2005,A201,'Claim Review'!$C$6:$C$2005,"&lt;&gt;",'Claim Review'!$K$6:$K$2005,"Yes"))</f>
        <v/>
      </c>
      <c r="R201" s="12">
        <f>IF(AND(A201&lt;&gt;"",COUNTIF($A$6:$A$205,A201)=1,COUNTIF('Test Cases'!$A$6:$A$205,B201)=1,I201&lt;&gt;"",J201&lt;&gt;"",OR(K201="Answered",K201="Clarification",K201="Abstained"),X201="Yes",T201&lt;&gt;"",O201&gt;0,Q201=0),P201/MAX(1,O201),"")</f>
        <v/>
      </c>
      <c r="S201" s="11">
        <f>IF(A201="","",IF(AND(J201="",K201=""),"Pending",IF(COUNTIF($A$6:$A$205,A201)&lt;&gt;1,"Duplicate Run ID",IF(COUNTIF('Test Cases'!$A$6:$A$205,B201)&lt;&gt;1,"Check Test ID",IF(K201="Error","FAIL",IF(OR(I201="",J201=""),"Needs evidence / answer",IF(NOT(OR(K201="Answered",K201="Clarification",K201="Abstained")),"Choose outcome",IF(X201&lt;&gt;"Yes","Confirm claim inventory",IF(AND(K201="Answered",O201=0),"Needs claims",IF(Q201&gt;0,"Needs claim review",IF(OR(NOT(OR(L201="Yes",L201="No")),T201=""),"Needs response review",IF(OR(L201="No",M201&gt;0,N201&gt;0,AND(ISNUMBER(R201),R201&lt;Dashboard!$B$5)),"FAIL","PASS"))))))))))))</f>
        <v/>
      </c>
      <c r="V201" s="11">
        <f>IF(B201="","",IFERROR(VLOOKUP(B201,'Test Cases'!$A$6:$J$205,7,FALSE),"Unknown Test ID"))</f>
        <v/>
      </c>
      <c r="W201" s="11">
        <f>IF(B201="","",IFERROR(VLOOKUP(B201,'Test Cases'!$A$6:$J$205,8,FALSE),"Unknown Test ID"))</f>
        <v/>
      </c>
    </row>
    <row r="202" spans="3:23">
      <c r="C202" s="11">
        <f>IF(B202="","",IFERROR(VLOOKUP(B202,'Test Cases'!$A$6:$J$205,2,FALSE),"Unknown Test ID"))</f>
        <v/>
      </c>
      <c r="D202" s="11">
        <f>IF(B202="","",IFERROR(VLOOKUP(B202,'Test Cases'!$A$6:$J$205,5,FALSE),"Unknown Test ID"))</f>
        <v/>
      </c>
      <c r="M202" s="11">
        <f>IF(A202="","",COUNTIFS('Claim Review'!$A$6:$A$2005,A202,'Claim Review'!$C$6:$C$2005,"&lt;&gt;",'Claim Review'!$G$6:$G$2005,"Wrong citation")+COUNTIFS('Claim Review'!$A$6:$A$2005,A202,'Claim Review'!$C$6:$C$2005,"&lt;&gt;",'Claim Review'!$G$6:$G$2005,"Missing citation"))</f>
        <v/>
      </c>
      <c r="N202" s="11">
        <f>IF(A202="","",COUNTIFS('Claim Review'!$A$6:$A$2005,A202,'Claim Review'!$C$6:$C$2005,"&lt;&gt;",'Claim Review'!$H$6:$H$2005,"Yes"))</f>
        <v/>
      </c>
      <c r="O202" s="11">
        <f>IF(A202="","",COUNTIFS('Claim Review'!$A$6:$A$2005,A202,'Claim Review'!$C$6:$C$2005,"&lt;&gt;"))</f>
        <v/>
      </c>
      <c r="P202" s="11">
        <f>IF(A202="","",COUNTIFS('Claim Review'!$A$6:$A$2005,A202,'Claim Review'!$C$6:$C$2005,"&lt;&gt;",'Claim Review'!$F$6:$F$2005,"Supported"))</f>
        <v/>
      </c>
      <c r="Q202" s="11">
        <f>IF(A202="","",O202-COUNTIFS('Claim Review'!$A$6:$A$2005,A202,'Claim Review'!$C$6:$C$2005,"&lt;&gt;",'Claim Review'!$K$6:$K$2005,"Yes"))</f>
        <v/>
      </c>
      <c r="R202" s="12">
        <f>IF(AND(A202&lt;&gt;"",COUNTIF($A$6:$A$205,A202)=1,COUNTIF('Test Cases'!$A$6:$A$205,B202)=1,I202&lt;&gt;"",J202&lt;&gt;"",OR(K202="Answered",K202="Clarification",K202="Abstained"),X202="Yes",T202&lt;&gt;"",O202&gt;0,Q202=0),P202/MAX(1,O202),"")</f>
        <v/>
      </c>
      <c r="S202" s="11">
        <f>IF(A202="","",IF(AND(J202="",K202=""),"Pending",IF(COUNTIF($A$6:$A$205,A202)&lt;&gt;1,"Duplicate Run ID",IF(COUNTIF('Test Cases'!$A$6:$A$205,B202)&lt;&gt;1,"Check Test ID",IF(K202="Error","FAIL",IF(OR(I202="",J202=""),"Needs evidence / answer",IF(NOT(OR(K202="Answered",K202="Clarification",K202="Abstained")),"Choose outcome",IF(X202&lt;&gt;"Yes","Confirm claim inventory",IF(AND(K202="Answered",O202=0),"Needs claims",IF(Q202&gt;0,"Needs claim review",IF(OR(NOT(OR(L202="Yes",L202="No")),T202=""),"Needs response review",IF(OR(L202="No",M202&gt;0,N202&gt;0,AND(ISNUMBER(R202),R202&lt;Dashboard!$B$5)),"FAIL","PASS"))))))))))))</f>
        <v/>
      </c>
      <c r="V202" s="11">
        <f>IF(B202="","",IFERROR(VLOOKUP(B202,'Test Cases'!$A$6:$J$205,7,FALSE),"Unknown Test ID"))</f>
        <v/>
      </c>
      <c r="W202" s="11">
        <f>IF(B202="","",IFERROR(VLOOKUP(B202,'Test Cases'!$A$6:$J$205,8,FALSE),"Unknown Test ID"))</f>
        <v/>
      </c>
    </row>
    <row r="203" spans="3:23">
      <c r="C203" s="11">
        <f>IF(B203="","",IFERROR(VLOOKUP(B203,'Test Cases'!$A$6:$J$205,2,FALSE),"Unknown Test ID"))</f>
        <v/>
      </c>
      <c r="D203" s="11">
        <f>IF(B203="","",IFERROR(VLOOKUP(B203,'Test Cases'!$A$6:$J$205,5,FALSE),"Unknown Test ID"))</f>
        <v/>
      </c>
      <c r="M203" s="11">
        <f>IF(A203="","",COUNTIFS('Claim Review'!$A$6:$A$2005,A203,'Claim Review'!$C$6:$C$2005,"&lt;&gt;",'Claim Review'!$G$6:$G$2005,"Wrong citation")+COUNTIFS('Claim Review'!$A$6:$A$2005,A203,'Claim Review'!$C$6:$C$2005,"&lt;&gt;",'Claim Review'!$G$6:$G$2005,"Missing citation"))</f>
        <v/>
      </c>
      <c r="N203" s="11">
        <f>IF(A203="","",COUNTIFS('Claim Review'!$A$6:$A$2005,A203,'Claim Review'!$C$6:$C$2005,"&lt;&gt;",'Claim Review'!$H$6:$H$2005,"Yes"))</f>
        <v/>
      </c>
      <c r="O203" s="11">
        <f>IF(A203="","",COUNTIFS('Claim Review'!$A$6:$A$2005,A203,'Claim Review'!$C$6:$C$2005,"&lt;&gt;"))</f>
        <v/>
      </c>
      <c r="P203" s="11">
        <f>IF(A203="","",COUNTIFS('Claim Review'!$A$6:$A$2005,A203,'Claim Review'!$C$6:$C$2005,"&lt;&gt;",'Claim Review'!$F$6:$F$2005,"Supported"))</f>
        <v/>
      </c>
      <c r="Q203" s="11">
        <f>IF(A203="","",O203-COUNTIFS('Claim Review'!$A$6:$A$2005,A203,'Claim Review'!$C$6:$C$2005,"&lt;&gt;",'Claim Review'!$K$6:$K$2005,"Yes"))</f>
        <v/>
      </c>
      <c r="R203" s="12">
        <f>IF(AND(A203&lt;&gt;"",COUNTIF($A$6:$A$205,A203)=1,COUNTIF('Test Cases'!$A$6:$A$205,B203)=1,I203&lt;&gt;"",J203&lt;&gt;"",OR(K203="Answered",K203="Clarification",K203="Abstained"),X203="Yes",T203&lt;&gt;"",O203&gt;0,Q203=0),P203/MAX(1,O203),"")</f>
        <v/>
      </c>
      <c r="S203" s="11">
        <f>IF(A203="","",IF(AND(J203="",K203=""),"Pending",IF(COUNTIF($A$6:$A$205,A203)&lt;&gt;1,"Duplicate Run ID",IF(COUNTIF('Test Cases'!$A$6:$A$205,B203)&lt;&gt;1,"Check Test ID",IF(K203="Error","FAIL",IF(OR(I203="",J203=""),"Needs evidence / answer",IF(NOT(OR(K203="Answered",K203="Clarification",K203="Abstained")),"Choose outcome",IF(X203&lt;&gt;"Yes","Confirm claim inventory",IF(AND(K203="Answered",O203=0),"Needs claims",IF(Q203&gt;0,"Needs claim review",IF(OR(NOT(OR(L203="Yes",L203="No")),T203=""),"Needs response review",IF(OR(L203="No",M203&gt;0,N203&gt;0,AND(ISNUMBER(R203),R203&lt;Dashboard!$B$5)),"FAIL","PASS"))))))))))))</f>
        <v/>
      </c>
      <c r="V203" s="11">
        <f>IF(B203="","",IFERROR(VLOOKUP(B203,'Test Cases'!$A$6:$J$205,7,FALSE),"Unknown Test ID"))</f>
        <v/>
      </c>
      <c r="W203" s="11">
        <f>IF(B203="","",IFERROR(VLOOKUP(B203,'Test Cases'!$A$6:$J$205,8,FALSE),"Unknown Test ID"))</f>
        <v/>
      </c>
    </row>
    <row r="204" spans="3:23">
      <c r="C204" s="11">
        <f>IF(B204="","",IFERROR(VLOOKUP(B204,'Test Cases'!$A$6:$J$205,2,FALSE),"Unknown Test ID"))</f>
        <v/>
      </c>
      <c r="D204" s="11">
        <f>IF(B204="","",IFERROR(VLOOKUP(B204,'Test Cases'!$A$6:$J$205,5,FALSE),"Unknown Test ID"))</f>
        <v/>
      </c>
      <c r="M204" s="11">
        <f>IF(A204="","",COUNTIFS('Claim Review'!$A$6:$A$2005,A204,'Claim Review'!$C$6:$C$2005,"&lt;&gt;",'Claim Review'!$G$6:$G$2005,"Wrong citation")+COUNTIFS('Claim Review'!$A$6:$A$2005,A204,'Claim Review'!$C$6:$C$2005,"&lt;&gt;",'Claim Review'!$G$6:$G$2005,"Missing citation"))</f>
        <v/>
      </c>
      <c r="N204" s="11">
        <f>IF(A204="","",COUNTIFS('Claim Review'!$A$6:$A$2005,A204,'Claim Review'!$C$6:$C$2005,"&lt;&gt;",'Claim Review'!$H$6:$H$2005,"Yes"))</f>
        <v/>
      </c>
      <c r="O204" s="11">
        <f>IF(A204="","",COUNTIFS('Claim Review'!$A$6:$A$2005,A204,'Claim Review'!$C$6:$C$2005,"&lt;&gt;"))</f>
        <v/>
      </c>
      <c r="P204" s="11">
        <f>IF(A204="","",COUNTIFS('Claim Review'!$A$6:$A$2005,A204,'Claim Review'!$C$6:$C$2005,"&lt;&gt;",'Claim Review'!$F$6:$F$2005,"Supported"))</f>
        <v/>
      </c>
      <c r="Q204" s="11">
        <f>IF(A204="","",O204-COUNTIFS('Claim Review'!$A$6:$A$2005,A204,'Claim Review'!$C$6:$C$2005,"&lt;&gt;",'Claim Review'!$K$6:$K$2005,"Yes"))</f>
        <v/>
      </c>
      <c r="R204" s="12">
        <f>IF(AND(A204&lt;&gt;"",COUNTIF($A$6:$A$205,A204)=1,COUNTIF('Test Cases'!$A$6:$A$205,B204)=1,I204&lt;&gt;"",J204&lt;&gt;"",OR(K204="Answered",K204="Clarification",K204="Abstained"),X204="Yes",T204&lt;&gt;"",O204&gt;0,Q204=0),P204/MAX(1,O204),"")</f>
        <v/>
      </c>
      <c r="S204" s="11">
        <f>IF(A204="","",IF(AND(J204="",K204=""),"Pending",IF(COUNTIF($A$6:$A$205,A204)&lt;&gt;1,"Duplicate Run ID",IF(COUNTIF('Test Cases'!$A$6:$A$205,B204)&lt;&gt;1,"Check Test ID",IF(K204="Error","FAIL",IF(OR(I204="",J204=""),"Needs evidence / answer",IF(NOT(OR(K204="Answered",K204="Clarification",K204="Abstained")),"Choose outcome",IF(X204&lt;&gt;"Yes","Confirm claim inventory",IF(AND(K204="Answered",O204=0),"Needs claims",IF(Q204&gt;0,"Needs claim review",IF(OR(NOT(OR(L204="Yes",L204="No")),T204=""),"Needs response review",IF(OR(L204="No",M204&gt;0,N204&gt;0,AND(ISNUMBER(R204),R204&lt;Dashboard!$B$5)),"FAIL","PASS"))))))))))))</f>
        <v/>
      </c>
      <c r="V204" s="11">
        <f>IF(B204="","",IFERROR(VLOOKUP(B204,'Test Cases'!$A$6:$J$205,7,FALSE),"Unknown Test ID"))</f>
        <v/>
      </c>
      <c r="W204" s="11">
        <f>IF(B204="","",IFERROR(VLOOKUP(B204,'Test Cases'!$A$6:$J$205,8,FALSE),"Unknown Test ID"))</f>
        <v/>
      </c>
    </row>
    <row r="205" spans="3:23">
      <c r="C205" s="11">
        <f>IF(B205="","",IFERROR(VLOOKUP(B205,'Test Cases'!$A$6:$J$205,2,FALSE),"Unknown Test ID"))</f>
        <v/>
      </c>
      <c r="D205" s="11">
        <f>IF(B205="","",IFERROR(VLOOKUP(B205,'Test Cases'!$A$6:$J$205,5,FALSE),"Unknown Test ID"))</f>
        <v/>
      </c>
      <c r="M205" s="11">
        <f>IF(A205="","",COUNTIFS('Claim Review'!$A$6:$A$2005,A205,'Claim Review'!$C$6:$C$2005,"&lt;&gt;",'Claim Review'!$G$6:$G$2005,"Wrong citation")+COUNTIFS('Claim Review'!$A$6:$A$2005,A205,'Claim Review'!$C$6:$C$2005,"&lt;&gt;",'Claim Review'!$G$6:$G$2005,"Missing citation"))</f>
        <v/>
      </c>
      <c r="N205" s="11">
        <f>IF(A205="","",COUNTIFS('Claim Review'!$A$6:$A$2005,A205,'Claim Review'!$C$6:$C$2005,"&lt;&gt;",'Claim Review'!$H$6:$H$2005,"Yes"))</f>
        <v/>
      </c>
      <c r="O205" s="11">
        <f>IF(A205="","",COUNTIFS('Claim Review'!$A$6:$A$2005,A205,'Claim Review'!$C$6:$C$2005,"&lt;&gt;"))</f>
        <v/>
      </c>
      <c r="P205" s="11">
        <f>IF(A205="","",COUNTIFS('Claim Review'!$A$6:$A$2005,A205,'Claim Review'!$C$6:$C$2005,"&lt;&gt;",'Claim Review'!$F$6:$F$2005,"Supported"))</f>
        <v/>
      </c>
      <c r="Q205" s="11">
        <f>IF(A205="","",O205-COUNTIFS('Claim Review'!$A$6:$A$2005,A205,'Claim Review'!$C$6:$C$2005,"&lt;&gt;",'Claim Review'!$K$6:$K$2005,"Yes"))</f>
        <v/>
      </c>
      <c r="R205" s="12">
        <f>IF(AND(A205&lt;&gt;"",COUNTIF($A$6:$A$205,A205)=1,COUNTIF('Test Cases'!$A$6:$A$205,B205)=1,I205&lt;&gt;"",J205&lt;&gt;"",OR(K205="Answered",K205="Clarification",K205="Abstained"),X205="Yes",T205&lt;&gt;"",O205&gt;0,Q205=0),P205/MAX(1,O205),"")</f>
        <v/>
      </c>
      <c r="S205" s="11">
        <f>IF(A205="","",IF(AND(J205="",K205=""),"Pending",IF(COUNTIF($A$6:$A$205,A205)&lt;&gt;1,"Duplicate Run ID",IF(COUNTIF('Test Cases'!$A$6:$A$205,B205)&lt;&gt;1,"Check Test ID",IF(K205="Error","FAIL",IF(OR(I205="",J205=""),"Needs evidence / answer",IF(NOT(OR(K205="Answered",K205="Clarification",K205="Abstained")),"Choose outcome",IF(X205&lt;&gt;"Yes","Confirm claim inventory",IF(AND(K205="Answered",O205=0),"Needs claims",IF(Q205&gt;0,"Needs claim review",IF(OR(NOT(OR(L205="Yes",L205="No")),T205=""),"Needs response review",IF(OR(L205="No",M205&gt;0,N205&gt;0,AND(ISNUMBER(R205),R205&lt;Dashboard!$B$5)),"FAIL","PASS"))))))))))))</f>
        <v/>
      </c>
      <c r="V205" s="11">
        <f>IF(B205="","",IFERROR(VLOOKUP(B205,'Test Cases'!$A$6:$J$205,7,FALSE),"Unknown Test ID"))</f>
        <v/>
      </c>
      <c r="W205" s="11">
        <f>IF(B205="","",IFERROR(VLOOKUP(B205,'Test Cases'!$A$6:$J$205,8,FALSE),"Unknown Test ID"))</f>
        <v/>
      </c>
    </row>
  </sheetData>
  <mergeCells count="2">
    <mergeCell ref="A1:X1"/>
    <mergeCell ref="A2:X3"/>
  </mergeCells>
  <conditionalFormatting sqref="R6:R205">
    <cfRule type="colorScale" priority="3">
      <colorScale>
        <cfvo type="num" val="0"/>
        <cfvo type="num" val="0.9"/>
        <cfvo type="num" val="1"/>
        <color rgb="FFF5B6B0"/>
        <color rgb="FFFFF3D6"/>
        <color rgb="FFB7E1CD"/>
      </colorScale>
    </cfRule>
  </conditionalFormatting>
  <conditionalFormatting sqref="S6:S205">
    <cfRule type="cellIs" dxfId="1" priority="1" operator="equal">
      <formula>"PASS"</formula>
    </cfRule>
    <cfRule type="cellIs" dxfId="0" priority="2" operator="equal">
      <formula>"FAIL"</formula>
    </cfRule>
  </conditionalFormatting>
  <dataValidations count="3">
    <dataValidation type="list" allowBlank="1" showInputMessage="1" showErrorMessage="1" errorTitle="Choose a listed value" error="Use the dropdown so the scoring formulas can interpret the review." promptTitle="Reviewer input" prompt="Choose a value from the list." sqref="K6:K205">
      <formula1>"Answered,Clarification,Abstained,Error"</formula1>
    </dataValidation>
    <dataValidation type="list" allowBlank="1" showInputMessage="1" showErrorMessage="1" errorTitle="Choose a listed value" error="Use the dropdown so the scoring formulas can interpret the review." promptTitle="Reviewer input" prompt="Choose a value from the list." sqref="L6:L205">
      <formula1>"Yes,No,Not reviewed"</formula1>
    </dataValidation>
    <dataValidation type="list" allowBlank="1" showInputMessage="1" showErrorMessage="1" errorTitle="Choose a listed value" error="Use the dropdown so the scoring formulas can interpret the review." promptTitle="Reviewer input" prompt="Choose a value from the list." sqref="X6:X205">
      <formula1>"Yes,No"</formula1>
    </dataValidation>
  </dataValidations>
  <pageMargins left="0.7" right="0.7" top="0.75" bottom="0.75" header="0.3" footer="0.3"/>
  <pageSetup paperSize="9"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tabColor rgb="FF087F8C"/>
    <pageSetUpPr fitToPage="1"/>
  </sheetPr>
  <dimension ref="A1:K2005"/>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2" width="15.7109375" style="9" customWidth="1"/>
    <col min="3" max="3" width="65.7109375" style="9" customWidth="1"/>
    <col min="4" max="4" width="18.7109375" style="9" customWidth="1"/>
    <col min="5" max="5" width="70.7109375" style="9" customWidth="1"/>
    <col min="6" max="9" width="22.7109375" style="9" customWidth="1"/>
    <col min="10" max="10" width="45.7109375" style="9" customWidth="1"/>
    <col min="11" max="11" width="20.7109375" style="11" customWidth="1"/>
  </cols>
  <sheetData>
    <row r="1" spans="1:11" ht="33" customHeight="1">
      <c r="A1" s="1" t="s">
        <v>191</v>
      </c>
      <c r="B1" s="1"/>
      <c r="C1" s="1"/>
      <c r="D1" s="1"/>
      <c r="E1" s="1"/>
      <c r="F1" s="1"/>
      <c r="G1" s="1"/>
      <c r="H1" s="1"/>
      <c r="I1" s="1"/>
      <c r="J1" s="1"/>
      <c r="K1" s="1"/>
    </row>
    <row r="2" spans="1:11" ht="22" customHeight="1">
      <c r="A2" s="2" t="s">
        <v>192</v>
      </c>
      <c r="B2" s="2"/>
      <c r="C2" s="2"/>
      <c r="D2" s="2"/>
      <c r="E2" s="2"/>
      <c r="F2" s="2"/>
      <c r="G2" s="2"/>
      <c r="H2" s="2"/>
      <c r="I2" s="2"/>
      <c r="J2" s="2"/>
      <c r="K2" s="2"/>
    </row>
    <row r="3" spans="1:11" ht="22" customHeight="1">
      <c r="A3" s="2"/>
      <c r="B3" s="2"/>
      <c r="C3" s="2"/>
      <c r="D3" s="2"/>
      <c r="E3" s="2"/>
      <c r="F3" s="2"/>
      <c r="G3" s="2"/>
      <c r="H3" s="2"/>
      <c r="I3" s="2"/>
      <c r="J3" s="2"/>
      <c r="K3" s="2"/>
    </row>
    <row r="5" spans="1:11" ht="38" customHeight="1">
      <c r="A5" s="10" t="s">
        <v>193</v>
      </c>
      <c r="B5" s="10" t="s">
        <v>194</v>
      </c>
      <c r="C5" s="10" t="s">
        <v>195</v>
      </c>
      <c r="D5" s="10" t="s">
        <v>196</v>
      </c>
      <c r="E5" s="10" t="s">
        <v>197</v>
      </c>
      <c r="F5" s="10" t="s">
        <v>198</v>
      </c>
      <c r="G5" s="10" t="s">
        <v>199</v>
      </c>
      <c r="H5" s="10" t="s">
        <v>200</v>
      </c>
      <c r="I5" s="10" t="s">
        <v>201</v>
      </c>
      <c r="J5" s="10" t="s">
        <v>202</v>
      </c>
      <c r="K5" s="10" t="s">
        <v>203</v>
      </c>
    </row>
    <row r="6" spans="1:11">
      <c r="K6" s="11">
        <f>IF(OR(A6="",C6=""),"",IF(AND(COUNTIF(Responses!$A$6:$A$205,A6)=1,B6&lt;&gt;"",COUNTIFS($A$6:$A$2005,A6,$B$6:$B$2005,B6)=1,OR(F6="Supported",F6="Unsupported",F6="Contradicted"),OR(G6="Supported",G6="Wrong citation",G6="Missing citation"),OR(H6="Yes",H6="No"),I6&lt;&gt;"",OR(F6&lt;&gt;"Supported",E6&lt;&gt;""),OR(G6&lt;&gt;"Supported",AND(F6="Supported",D6&lt;&gt;"",E6&lt;&gt;""))),"Yes","No"))</f>
        <v/>
      </c>
    </row>
    <row r="7" spans="1:11">
      <c r="K7" s="11">
        <f>IF(OR(A7="",C7=""),"",IF(AND(COUNTIF(Responses!$A$6:$A$205,A7)=1,B7&lt;&gt;"",COUNTIFS($A$6:$A$2005,A7,$B$6:$B$2005,B7)=1,OR(F7="Supported",F7="Unsupported",F7="Contradicted"),OR(G7="Supported",G7="Wrong citation",G7="Missing citation"),OR(H7="Yes",H7="No"),I7&lt;&gt;"",OR(F7&lt;&gt;"Supported",E7&lt;&gt;""),OR(G7&lt;&gt;"Supported",AND(F7="Supported",D7&lt;&gt;"",E7&lt;&gt;""))),"Yes","No"))</f>
        <v/>
      </c>
    </row>
    <row r="8" spans="1:11">
      <c r="K8" s="11">
        <f>IF(OR(A8="",C8=""),"",IF(AND(COUNTIF(Responses!$A$6:$A$205,A8)=1,B8&lt;&gt;"",COUNTIFS($A$6:$A$2005,A8,$B$6:$B$2005,B8)=1,OR(F8="Supported",F8="Unsupported",F8="Contradicted"),OR(G8="Supported",G8="Wrong citation",G8="Missing citation"),OR(H8="Yes",H8="No"),I8&lt;&gt;"",OR(F8&lt;&gt;"Supported",E8&lt;&gt;""),OR(G8&lt;&gt;"Supported",AND(F8="Supported",D8&lt;&gt;"",E8&lt;&gt;""))),"Yes","No"))</f>
        <v/>
      </c>
    </row>
    <row r="9" spans="1:11">
      <c r="K9" s="11">
        <f>IF(OR(A9="",C9=""),"",IF(AND(COUNTIF(Responses!$A$6:$A$205,A9)=1,B9&lt;&gt;"",COUNTIFS($A$6:$A$2005,A9,$B$6:$B$2005,B9)=1,OR(F9="Supported",F9="Unsupported",F9="Contradicted"),OR(G9="Supported",G9="Wrong citation",G9="Missing citation"),OR(H9="Yes",H9="No"),I9&lt;&gt;"",OR(F9&lt;&gt;"Supported",E9&lt;&gt;""),OR(G9&lt;&gt;"Supported",AND(F9="Supported",D9&lt;&gt;"",E9&lt;&gt;""))),"Yes","No"))</f>
        <v/>
      </c>
    </row>
    <row r="10" spans="1:11">
      <c r="K10" s="11">
        <f>IF(OR(A10="",C10=""),"",IF(AND(COUNTIF(Responses!$A$6:$A$205,A10)=1,B10&lt;&gt;"",COUNTIFS($A$6:$A$2005,A10,$B$6:$B$2005,B10)=1,OR(F10="Supported",F10="Unsupported",F10="Contradicted"),OR(G10="Supported",G10="Wrong citation",G10="Missing citation"),OR(H10="Yes",H10="No"),I10&lt;&gt;"",OR(F10&lt;&gt;"Supported",E10&lt;&gt;""),OR(G10&lt;&gt;"Supported",AND(F10="Supported",D10&lt;&gt;"",E10&lt;&gt;""))),"Yes","No"))</f>
        <v/>
      </c>
    </row>
    <row r="11" spans="1:11">
      <c r="K11" s="11">
        <f>IF(OR(A11="",C11=""),"",IF(AND(COUNTIF(Responses!$A$6:$A$205,A11)=1,B11&lt;&gt;"",COUNTIFS($A$6:$A$2005,A11,$B$6:$B$2005,B11)=1,OR(F11="Supported",F11="Unsupported",F11="Contradicted"),OR(G11="Supported",G11="Wrong citation",G11="Missing citation"),OR(H11="Yes",H11="No"),I11&lt;&gt;"",OR(F11&lt;&gt;"Supported",E11&lt;&gt;""),OR(G11&lt;&gt;"Supported",AND(F11="Supported",D11&lt;&gt;"",E11&lt;&gt;""))),"Yes","No"))</f>
        <v/>
      </c>
    </row>
    <row r="12" spans="1:11">
      <c r="K12" s="11">
        <f>IF(OR(A12="",C12=""),"",IF(AND(COUNTIF(Responses!$A$6:$A$205,A12)=1,B12&lt;&gt;"",COUNTIFS($A$6:$A$2005,A12,$B$6:$B$2005,B12)=1,OR(F12="Supported",F12="Unsupported",F12="Contradicted"),OR(G12="Supported",G12="Wrong citation",G12="Missing citation"),OR(H12="Yes",H12="No"),I12&lt;&gt;"",OR(F12&lt;&gt;"Supported",E12&lt;&gt;""),OR(G12&lt;&gt;"Supported",AND(F12="Supported",D12&lt;&gt;"",E12&lt;&gt;""))),"Yes","No"))</f>
        <v/>
      </c>
    </row>
    <row r="13" spans="1:11">
      <c r="K13" s="11">
        <f>IF(OR(A13="",C13=""),"",IF(AND(COUNTIF(Responses!$A$6:$A$205,A13)=1,B13&lt;&gt;"",COUNTIFS($A$6:$A$2005,A13,$B$6:$B$2005,B13)=1,OR(F13="Supported",F13="Unsupported",F13="Contradicted"),OR(G13="Supported",G13="Wrong citation",G13="Missing citation"),OR(H13="Yes",H13="No"),I13&lt;&gt;"",OR(F13&lt;&gt;"Supported",E13&lt;&gt;""),OR(G13&lt;&gt;"Supported",AND(F13="Supported",D13&lt;&gt;"",E13&lt;&gt;""))),"Yes","No"))</f>
        <v/>
      </c>
    </row>
    <row r="14" spans="1:11">
      <c r="K14" s="11">
        <f>IF(OR(A14="",C14=""),"",IF(AND(COUNTIF(Responses!$A$6:$A$205,A14)=1,B14&lt;&gt;"",COUNTIFS($A$6:$A$2005,A14,$B$6:$B$2005,B14)=1,OR(F14="Supported",F14="Unsupported",F14="Contradicted"),OR(G14="Supported",G14="Wrong citation",G14="Missing citation"),OR(H14="Yes",H14="No"),I14&lt;&gt;"",OR(F14&lt;&gt;"Supported",E14&lt;&gt;""),OR(G14&lt;&gt;"Supported",AND(F14="Supported",D14&lt;&gt;"",E14&lt;&gt;""))),"Yes","No"))</f>
        <v/>
      </c>
    </row>
    <row r="15" spans="1:11">
      <c r="K15" s="11">
        <f>IF(OR(A15="",C15=""),"",IF(AND(COUNTIF(Responses!$A$6:$A$205,A15)=1,B15&lt;&gt;"",COUNTIFS($A$6:$A$2005,A15,$B$6:$B$2005,B15)=1,OR(F15="Supported",F15="Unsupported",F15="Contradicted"),OR(G15="Supported",G15="Wrong citation",G15="Missing citation"),OR(H15="Yes",H15="No"),I15&lt;&gt;"",OR(F15&lt;&gt;"Supported",E15&lt;&gt;""),OR(G15&lt;&gt;"Supported",AND(F15="Supported",D15&lt;&gt;"",E15&lt;&gt;""))),"Yes","No"))</f>
        <v/>
      </c>
    </row>
    <row r="16" spans="1:11">
      <c r="K16" s="11">
        <f>IF(OR(A16="",C16=""),"",IF(AND(COUNTIF(Responses!$A$6:$A$205,A16)=1,B16&lt;&gt;"",COUNTIFS($A$6:$A$2005,A16,$B$6:$B$2005,B16)=1,OR(F16="Supported",F16="Unsupported",F16="Contradicted"),OR(G16="Supported",G16="Wrong citation",G16="Missing citation"),OR(H16="Yes",H16="No"),I16&lt;&gt;"",OR(F16&lt;&gt;"Supported",E16&lt;&gt;""),OR(G16&lt;&gt;"Supported",AND(F16="Supported",D16&lt;&gt;"",E16&lt;&gt;""))),"Yes","No"))</f>
        <v/>
      </c>
    </row>
    <row r="17" spans="11:11">
      <c r="K17" s="11">
        <f>IF(OR(A17="",C17=""),"",IF(AND(COUNTIF(Responses!$A$6:$A$205,A17)=1,B17&lt;&gt;"",COUNTIFS($A$6:$A$2005,A17,$B$6:$B$2005,B17)=1,OR(F17="Supported",F17="Unsupported",F17="Contradicted"),OR(G17="Supported",G17="Wrong citation",G17="Missing citation"),OR(H17="Yes",H17="No"),I17&lt;&gt;"",OR(F17&lt;&gt;"Supported",E17&lt;&gt;""),OR(G17&lt;&gt;"Supported",AND(F17="Supported",D17&lt;&gt;"",E17&lt;&gt;""))),"Yes","No"))</f>
        <v/>
      </c>
    </row>
    <row r="18" spans="11:11">
      <c r="K18" s="11">
        <f>IF(OR(A18="",C18=""),"",IF(AND(COUNTIF(Responses!$A$6:$A$205,A18)=1,B18&lt;&gt;"",COUNTIFS($A$6:$A$2005,A18,$B$6:$B$2005,B18)=1,OR(F18="Supported",F18="Unsupported",F18="Contradicted"),OR(G18="Supported",G18="Wrong citation",G18="Missing citation"),OR(H18="Yes",H18="No"),I18&lt;&gt;"",OR(F18&lt;&gt;"Supported",E18&lt;&gt;""),OR(G18&lt;&gt;"Supported",AND(F18="Supported",D18&lt;&gt;"",E18&lt;&gt;""))),"Yes","No"))</f>
        <v/>
      </c>
    </row>
    <row r="19" spans="11:11">
      <c r="K19" s="11">
        <f>IF(OR(A19="",C19=""),"",IF(AND(COUNTIF(Responses!$A$6:$A$205,A19)=1,B19&lt;&gt;"",COUNTIFS($A$6:$A$2005,A19,$B$6:$B$2005,B19)=1,OR(F19="Supported",F19="Unsupported",F19="Contradicted"),OR(G19="Supported",G19="Wrong citation",G19="Missing citation"),OR(H19="Yes",H19="No"),I19&lt;&gt;"",OR(F19&lt;&gt;"Supported",E19&lt;&gt;""),OR(G19&lt;&gt;"Supported",AND(F19="Supported",D19&lt;&gt;"",E19&lt;&gt;""))),"Yes","No"))</f>
        <v/>
      </c>
    </row>
    <row r="20" spans="11:11">
      <c r="K20" s="11">
        <f>IF(OR(A20="",C20=""),"",IF(AND(COUNTIF(Responses!$A$6:$A$205,A20)=1,B20&lt;&gt;"",COUNTIFS($A$6:$A$2005,A20,$B$6:$B$2005,B20)=1,OR(F20="Supported",F20="Unsupported",F20="Contradicted"),OR(G20="Supported",G20="Wrong citation",G20="Missing citation"),OR(H20="Yes",H20="No"),I20&lt;&gt;"",OR(F20&lt;&gt;"Supported",E20&lt;&gt;""),OR(G20&lt;&gt;"Supported",AND(F20="Supported",D20&lt;&gt;"",E20&lt;&gt;""))),"Yes","No"))</f>
        <v/>
      </c>
    </row>
    <row r="21" spans="11:11">
      <c r="K21" s="11">
        <f>IF(OR(A21="",C21=""),"",IF(AND(COUNTIF(Responses!$A$6:$A$205,A21)=1,B21&lt;&gt;"",COUNTIFS($A$6:$A$2005,A21,$B$6:$B$2005,B21)=1,OR(F21="Supported",F21="Unsupported",F21="Contradicted"),OR(G21="Supported",G21="Wrong citation",G21="Missing citation"),OR(H21="Yes",H21="No"),I21&lt;&gt;"",OR(F21&lt;&gt;"Supported",E21&lt;&gt;""),OR(G21&lt;&gt;"Supported",AND(F21="Supported",D21&lt;&gt;"",E21&lt;&gt;""))),"Yes","No"))</f>
        <v/>
      </c>
    </row>
    <row r="22" spans="11:11">
      <c r="K22" s="11">
        <f>IF(OR(A22="",C22=""),"",IF(AND(COUNTIF(Responses!$A$6:$A$205,A22)=1,B22&lt;&gt;"",COUNTIFS($A$6:$A$2005,A22,$B$6:$B$2005,B22)=1,OR(F22="Supported",F22="Unsupported",F22="Contradicted"),OR(G22="Supported",G22="Wrong citation",G22="Missing citation"),OR(H22="Yes",H22="No"),I22&lt;&gt;"",OR(F22&lt;&gt;"Supported",E22&lt;&gt;""),OR(G22&lt;&gt;"Supported",AND(F22="Supported",D22&lt;&gt;"",E22&lt;&gt;""))),"Yes","No"))</f>
        <v/>
      </c>
    </row>
    <row r="23" spans="11:11">
      <c r="K23" s="11">
        <f>IF(OR(A23="",C23=""),"",IF(AND(COUNTIF(Responses!$A$6:$A$205,A23)=1,B23&lt;&gt;"",COUNTIFS($A$6:$A$2005,A23,$B$6:$B$2005,B23)=1,OR(F23="Supported",F23="Unsupported",F23="Contradicted"),OR(G23="Supported",G23="Wrong citation",G23="Missing citation"),OR(H23="Yes",H23="No"),I23&lt;&gt;"",OR(F23&lt;&gt;"Supported",E23&lt;&gt;""),OR(G23&lt;&gt;"Supported",AND(F23="Supported",D23&lt;&gt;"",E23&lt;&gt;""))),"Yes","No"))</f>
        <v/>
      </c>
    </row>
    <row r="24" spans="11:11">
      <c r="K24" s="11">
        <f>IF(OR(A24="",C24=""),"",IF(AND(COUNTIF(Responses!$A$6:$A$205,A24)=1,B24&lt;&gt;"",COUNTIFS($A$6:$A$2005,A24,$B$6:$B$2005,B24)=1,OR(F24="Supported",F24="Unsupported",F24="Contradicted"),OR(G24="Supported",G24="Wrong citation",G24="Missing citation"),OR(H24="Yes",H24="No"),I24&lt;&gt;"",OR(F24&lt;&gt;"Supported",E24&lt;&gt;""),OR(G24&lt;&gt;"Supported",AND(F24="Supported",D24&lt;&gt;"",E24&lt;&gt;""))),"Yes","No"))</f>
        <v/>
      </c>
    </row>
    <row r="25" spans="11:11">
      <c r="K25" s="11">
        <f>IF(OR(A25="",C25=""),"",IF(AND(COUNTIF(Responses!$A$6:$A$205,A25)=1,B25&lt;&gt;"",COUNTIFS($A$6:$A$2005,A25,$B$6:$B$2005,B25)=1,OR(F25="Supported",F25="Unsupported",F25="Contradicted"),OR(G25="Supported",G25="Wrong citation",G25="Missing citation"),OR(H25="Yes",H25="No"),I25&lt;&gt;"",OR(F25&lt;&gt;"Supported",E25&lt;&gt;""),OR(G25&lt;&gt;"Supported",AND(F25="Supported",D25&lt;&gt;"",E25&lt;&gt;""))),"Yes","No"))</f>
        <v/>
      </c>
    </row>
    <row r="26" spans="11:11">
      <c r="K26" s="11">
        <f>IF(OR(A26="",C26=""),"",IF(AND(COUNTIF(Responses!$A$6:$A$205,A26)=1,B26&lt;&gt;"",COUNTIFS($A$6:$A$2005,A26,$B$6:$B$2005,B26)=1,OR(F26="Supported",F26="Unsupported",F26="Contradicted"),OR(G26="Supported",G26="Wrong citation",G26="Missing citation"),OR(H26="Yes",H26="No"),I26&lt;&gt;"",OR(F26&lt;&gt;"Supported",E26&lt;&gt;""),OR(G26&lt;&gt;"Supported",AND(F26="Supported",D26&lt;&gt;"",E26&lt;&gt;""))),"Yes","No"))</f>
        <v/>
      </c>
    </row>
    <row r="27" spans="11:11">
      <c r="K27" s="11">
        <f>IF(OR(A27="",C27=""),"",IF(AND(COUNTIF(Responses!$A$6:$A$205,A27)=1,B27&lt;&gt;"",COUNTIFS($A$6:$A$2005,A27,$B$6:$B$2005,B27)=1,OR(F27="Supported",F27="Unsupported",F27="Contradicted"),OR(G27="Supported",G27="Wrong citation",G27="Missing citation"),OR(H27="Yes",H27="No"),I27&lt;&gt;"",OR(F27&lt;&gt;"Supported",E27&lt;&gt;""),OR(G27&lt;&gt;"Supported",AND(F27="Supported",D27&lt;&gt;"",E27&lt;&gt;""))),"Yes","No"))</f>
        <v/>
      </c>
    </row>
    <row r="28" spans="11:11">
      <c r="K28" s="11">
        <f>IF(OR(A28="",C28=""),"",IF(AND(COUNTIF(Responses!$A$6:$A$205,A28)=1,B28&lt;&gt;"",COUNTIFS($A$6:$A$2005,A28,$B$6:$B$2005,B28)=1,OR(F28="Supported",F28="Unsupported",F28="Contradicted"),OR(G28="Supported",G28="Wrong citation",G28="Missing citation"),OR(H28="Yes",H28="No"),I28&lt;&gt;"",OR(F28&lt;&gt;"Supported",E28&lt;&gt;""),OR(G28&lt;&gt;"Supported",AND(F28="Supported",D28&lt;&gt;"",E28&lt;&gt;""))),"Yes","No"))</f>
        <v/>
      </c>
    </row>
    <row r="29" spans="11:11">
      <c r="K29" s="11">
        <f>IF(OR(A29="",C29=""),"",IF(AND(COUNTIF(Responses!$A$6:$A$205,A29)=1,B29&lt;&gt;"",COUNTIFS($A$6:$A$2005,A29,$B$6:$B$2005,B29)=1,OR(F29="Supported",F29="Unsupported",F29="Contradicted"),OR(G29="Supported",G29="Wrong citation",G29="Missing citation"),OR(H29="Yes",H29="No"),I29&lt;&gt;"",OR(F29&lt;&gt;"Supported",E29&lt;&gt;""),OR(G29&lt;&gt;"Supported",AND(F29="Supported",D29&lt;&gt;"",E29&lt;&gt;""))),"Yes","No"))</f>
        <v/>
      </c>
    </row>
    <row r="30" spans="11:11">
      <c r="K30" s="11">
        <f>IF(OR(A30="",C30=""),"",IF(AND(COUNTIF(Responses!$A$6:$A$205,A30)=1,B30&lt;&gt;"",COUNTIFS($A$6:$A$2005,A30,$B$6:$B$2005,B30)=1,OR(F30="Supported",F30="Unsupported",F30="Contradicted"),OR(G30="Supported",G30="Wrong citation",G30="Missing citation"),OR(H30="Yes",H30="No"),I30&lt;&gt;"",OR(F30&lt;&gt;"Supported",E30&lt;&gt;""),OR(G30&lt;&gt;"Supported",AND(F30="Supported",D30&lt;&gt;"",E30&lt;&gt;""))),"Yes","No"))</f>
        <v/>
      </c>
    </row>
    <row r="31" spans="11:11">
      <c r="K31" s="11">
        <f>IF(OR(A31="",C31=""),"",IF(AND(COUNTIF(Responses!$A$6:$A$205,A31)=1,B31&lt;&gt;"",COUNTIFS($A$6:$A$2005,A31,$B$6:$B$2005,B31)=1,OR(F31="Supported",F31="Unsupported",F31="Contradicted"),OR(G31="Supported",G31="Wrong citation",G31="Missing citation"),OR(H31="Yes",H31="No"),I31&lt;&gt;"",OR(F31&lt;&gt;"Supported",E31&lt;&gt;""),OR(G31&lt;&gt;"Supported",AND(F31="Supported",D31&lt;&gt;"",E31&lt;&gt;""))),"Yes","No"))</f>
        <v/>
      </c>
    </row>
    <row r="32" spans="11:11">
      <c r="K32" s="11">
        <f>IF(OR(A32="",C32=""),"",IF(AND(COUNTIF(Responses!$A$6:$A$205,A32)=1,B32&lt;&gt;"",COUNTIFS($A$6:$A$2005,A32,$B$6:$B$2005,B32)=1,OR(F32="Supported",F32="Unsupported",F32="Contradicted"),OR(G32="Supported",G32="Wrong citation",G32="Missing citation"),OR(H32="Yes",H32="No"),I32&lt;&gt;"",OR(F32&lt;&gt;"Supported",E32&lt;&gt;""),OR(G32&lt;&gt;"Supported",AND(F32="Supported",D32&lt;&gt;"",E32&lt;&gt;""))),"Yes","No"))</f>
        <v/>
      </c>
    </row>
    <row r="33" spans="11:11">
      <c r="K33" s="11">
        <f>IF(OR(A33="",C33=""),"",IF(AND(COUNTIF(Responses!$A$6:$A$205,A33)=1,B33&lt;&gt;"",COUNTIFS($A$6:$A$2005,A33,$B$6:$B$2005,B33)=1,OR(F33="Supported",F33="Unsupported",F33="Contradicted"),OR(G33="Supported",G33="Wrong citation",G33="Missing citation"),OR(H33="Yes",H33="No"),I33&lt;&gt;"",OR(F33&lt;&gt;"Supported",E33&lt;&gt;""),OR(G33&lt;&gt;"Supported",AND(F33="Supported",D33&lt;&gt;"",E33&lt;&gt;""))),"Yes","No"))</f>
        <v/>
      </c>
    </row>
    <row r="34" spans="11:11">
      <c r="K34" s="11">
        <f>IF(OR(A34="",C34=""),"",IF(AND(COUNTIF(Responses!$A$6:$A$205,A34)=1,B34&lt;&gt;"",COUNTIFS($A$6:$A$2005,A34,$B$6:$B$2005,B34)=1,OR(F34="Supported",F34="Unsupported",F34="Contradicted"),OR(G34="Supported",G34="Wrong citation",G34="Missing citation"),OR(H34="Yes",H34="No"),I34&lt;&gt;"",OR(F34&lt;&gt;"Supported",E34&lt;&gt;""),OR(G34&lt;&gt;"Supported",AND(F34="Supported",D34&lt;&gt;"",E34&lt;&gt;""))),"Yes","No"))</f>
        <v/>
      </c>
    </row>
    <row r="35" spans="11:11">
      <c r="K35" s="11">
        <f>IF(OR(A35="",C35=""),"",IF(AND(COUNTIF(Responses!$A$6:$A$205,A35)=1,B35&lt;&gt;"",COUNTIFS($A$6:$A$2005,A35,$B$6:$B$2005,B35)=1,OR(F35="Supported",F35="Unsupported",F35="Contradicted"),OR(G35="Supported",G35="Wrong citation",G35="Missing citation"),OR(H35="Yes",H35="No"),I35&lt;&gt;"",OR(F35&lt;&gt;"Supported",E35&lt;&gt;""),OR(G35&lt;&gt;"Supported",AND(F35="Supported",D35&lt;&gt;"",E35&lt;&gt;""))),"Yes","No"))</f>
        <v/>
      </c>
    </row>
    <row r="36" spans="11:11">
      <c r="K36" s="11">
        <f>IF(OR(A36="",C36=""),"",IF(AND(COUNTIF(Responses!$A$6:$A$205,A36)=1,B36&lt;&gt;"",COUNTIFS($A$6:$A$2005,A36,$B$6:$B$2005,B36)=1,OR(F36="Supported",F36="Unsupported",F36="Contradicted"),OR(G36="Supported",G36="Wrong citation",G36="Missing citation"),OR(H36="Yes",H36="No"),I36&lt;&gt;"",OR(F36&lt;&gt;"Supported",E36&lt;&gt;""),OR(G36&lt;&gt;"Supported",AND(F36="Supported",D36&lt;&gt;"",E36&lt;&gt;""))),"Yes","No"))</f>
        <v/>
      </c>
    </row>
    <row r="37" spans="11:11">
      <c r="K37" s="11">
        <f>IF(OR(A37="",C37=""),"",IF(AND(COUNTIF(Responses!$A$6:$A$205,A37)=1,B37&lt;&gt;"",COUNTIFS($A$6:$A$2005,A37,$B$6:$B$2005,B37)=1,OR(F37="Supported",F37="Unsupported",F37="Contradicted"),OR(G37="Supported",G37="Wrong citation",G37="Missing citation"),OR(H37="Yes",H37="No"),I37&lt;&gt;"",OR(F37&lt;&gt;"Supported",E37&lt;&gt;""),OR(G37&lt;&gt;"Supported",AND(F37="Supported",D37&lt;&gt;"",E37&lt;&gt;""))),"Yes","No"))</f>
        <v/>
      </c>
    </row>
    <row r="38" spans="11:11">
      <c r="K38" s="11">
        <f>IF(OR(A38="",C38=""),"",IF(AND(COUNTIF(Responses!$A$6:$A$205,A38)=1,B38&lt;&gt;"",COUNTIFS($A$6:$A$2005,A38,$B$6:$B$2005,B38)=1,OR(F38="Supported",F38="Unsupported",F38="Contradicted"),OR(G38="Supported",G38="Wrong citation",G38="Missing citation"),OR(H38="Yes",H38="No"),I38&lt;&gt;"",OR(F38&lt;&gt;"Supported",E38&lt;&gt;""),OR(G38&lt;&gt;"Supported",AND(F38="Supported",D38&lt;&gt;"",E38&lt;&gt;""))),"Yes","No"))</f>
        <v/>
      </c>
    </row>
    <row r="39" spans="11:11">
      <c r="K39" s="11">
        <f>IF(OR(A39="",C39=""),"",IF(AND(COUNTIF(Responses!$A$6:$A$205,A39)=1,B39&lt;&gt;"",COUNTIFS($A$6:$A$2005,A39,$B$6:$B$2005,B39)=1,OR(F39="Supported",F39="Unsupported",F39="Contradicted"),OR(G39="Supported",G39="Wrong citation",G39="Missing citation"),OR(H39="Yes",H39="No"),I39&lt;&gt;"",OR(F39&lt;&gt;"Supported",E39&lt;&gt;""),OR(G39&lt;&gt;"Supported",AND(F39="Supported",D39&lt;&gt;"",E39&lt;&gt;""))),"Yes","No"))</f>
        <v/>
      </c>
    </row>
    <row r="40" spans="11:11">
      <c r="K40" s="11">
        <f>IF(OR(A40="",C40=""),"",IF(AND(COUNTIF(Responses!$A$6:$A$205,A40)=1,B40&lt;&gt;"",COUNTIFS($A$6:$A$2005,A40,$B$6:$B$2005,B40)=1,OR(F40="Supported",F40="Unsupported",F40="Contradicted"),OR(G40="Supported",G40="Wrong citation",G40="Missing citation"),OR(H40="Yes",H40="No"),I40&lt;&gt;"",OR(F40&lt;&gt;"Supported",E40&lt;&gt;""),OR(G40&lt;&gt;"Supported",AND(F40="Supported",D40&lt;&gt;"",E40&lt;&gt;""))),"Yes","No"))</f>
        <v/>
      </c>
    </row>
    <row r="41" spans="11:11">
      <c r="K41" s="11">
        <f>IF(OR(A41="",C41=""),"",IF(AND(COUNTIF(Responses!$A$6:$A$205,A41)=1,B41&lt;&gt;"",COUNTIFS($A$6:$A$2005,A41,$B$6:$B$2005,B41)=1,OR(F41="Supported",F41="Unsupported",F41="Contradicted"),OR(G41="Supported",G41="Wrong citation",G41="Missing citation"),OR(H41="Yes",H41="No"),I41&lt;&gt;"",OR(F41&lt;&gt;"Supported",E41&lt;&gt;""),OR(G41&lt;&gt;"Supported",AND(F41="Supported",D41&lt;&gt;"",E41&lt;&gt;""))),"Yes","No"))</f>
        <v/>
      </c>
    </row>
    <row r="42" spans="11:11">
      <c r="K42" s="11">
        <f>IF(OR(A42="",C42=""),"",IF(AND(COUNTIF(Responses!$A$6:$A$205,A42)=1,B42&lt;&gt;"",COUNTIFS($A$6:$A$2005,A42,$B$6:$B$2005,B42)=1,OR(F42="Supported",F42="Unsupported",F42="Contradicted"),OR(G42="Supported",G42="Wrong citation",G42="Missing citation"),OR(H42="Yes",H42="No"),I42&lt;&gt;"",OR(F42&lt;&gt;"Supported",E42&lt;&gt;""),OR(G42&lt;&gt;"Supported",AND(F42="Supported",D42&lt;&gt;"",E42&lt;&gt;""))),"Yes","No"))</f>
        <v/>
      </c>
    </row>
    <row r="43" spans="11:11">
      <c r="K43" s="11">
        <f>IF(OR(A43="",C43=""),"",IF(AND(COUNTIF(Responses!$A$6:$A$205,A43)=1,B43&lt;&gt;"",COUNTIFS($A$6:$A$2005,A43,$B$6:$B$2005,B43)=1,OR(F43="Supported",F43="Unsupported",F43="Contradicted"),OR(G43="Supported",G43="Wrong citation",G43="Missing citation"),OR(H43="Yes",H43="No"),I43&lt;&gt;"",OR(F43&lt;&gt;"Supported",E43&lt;&gt;""),OR(G43&lt;&gt;"Supported",AND(F43="Supported",D43&lt;&gt;"",E43&lt;&gt;""))),"Yes","No"))</f>
        <v/>
      </c>
    </row>
    <row r="44" spans="11:11">
      <c r="K44" s="11">
        <f>IF(OR(A44="",C44=""),"",IF(AND(COUNTIF(Responses!$A$6:$A$205,A44)=1,B44&lt;&gt;"",COUNTIFS($A$6:$A$2005,A44,$B$6:$B$2005,B44)=1,OR(F44="Supported",F44="Unsupported",F44="Contradicted"),OR(G44="Supported",G44="Wrong citation",G44="Missing citation"),OR(H44="Yes",H44="No"),I44&lt;&gt;"",OR(F44&lt;&gt;"Supported",E44&lt;&gt;""),OR(G44&lt;&gt;"Supported",AND(F44="Supported",D44&lt;&gt;"",E44&lt;&gt;""))),"Yes","No"))</f>
        <v/>
      </c>
    </row>
    <row r="45" spans="11:11">
      <c r="K45" s="11">
        <f>IF(OR(A45="",C45=""),"",IF(AND(COUNTIF(Responses!$A$6:$A$205,A45)=1,B45&lt;&gt;"",COUNTIFS($A$6:$A$2005,A45,$B$6:$B$2005,B45)=1,OR(F45="Supported",F45="Unsupported",F45="Contradicted"),OR(G45="Supported",G45="Wrong citation",G45="Missing citation"),OR(H45="Yes",H45="No"),I45&lt;&gt;"",OR(F45&lt;&gt;"Supported",E45&lt;&gt;""),OR(G45&lt;&gt;"Supported",AND(F45="Supported",D45&lt;&gt;"",E45&lt;&gt;""))),"Yes","No"))</f>
        <v/>
      </c>
    </row>
    <row r="46" spans="11:11">
      <c r="K46" s="11">
        <f>IF(OR(A46="",C46=""),"",IF(AND(COUNTIF(Responses!$A$6:$A$205,A46)=1,B46&lt;&gt;"",COUNTIFS($A$6:$A$2005,A46,$B$6:$B$2005,B46)=1,OR(F46="Supported",F46="Unsupported",F46="Contradicted"),OR(G46="Supported",G46="Wrong citation",G46="Missing citation"),OR(H46="Yes",H46="No"),I46&lt;&gt;"",OR(F46&lt;&gt;"Supported",E46&lt;&gt;""),OR(G46&lt;&gt;"Supported",AND(F46="Supported",D46&lt;&gt;"",E46&lt;&gt;""))),"Yes","No"))</f>
        <v/>
      </c>
    </row>
    <row r="47" spans="11:11">
      <c r="K47" s="11">
        <f>IF(OR(A47="",C47=""),"",IF(AND(COUNTIF(Responses!$A$6:$A$205,A47)=1,B47&lt;&gt;"",COUNTIFS($A$6:$A$2005,A47,$B$6:$B$2005,B47)=1,OR(F47="Supported",F47="Unsupported",F47="Contradicted"),OR(G47="Supported",G47="Wrong citation",G47="Missing citation"),OR(H47="Yes",H47="No"),I47&lt;&gt;"",OR(F47&lt;&gt;"Supported",E47&lt;&gt;""),OR(G47&lt;&gt;"Supported",AND(F47="Supported",D47&lt;&gt;"",E47&lt;&gt;""))),"Yes","No"))</f>
        <v/>
      </c>
    </row>
    <row r="48" spans="11:11">
      <c r="K48" s="11">
        <f>IF(OR(A48="",C48=""),"",IF(AND(COUNTIF(Responses!$A$6:$A$205,A48)=1,B48&lt;&gt;"",COUNTIFS($A$6:$A$2005,A48,$B$6:$B$2005,B48)=1,OR(F48="Supported",F48="Unsupported",F48="Contradicted"),OR(G48="Supported",G48="Wrong citation",G48="Missing citation"),OR(H48="Yes",H48="No"),I48&lt;&gt;"",OR(F48&lt;&gt;"Supported",E48&lt;&gt;""),OR(G48&lt;&gt;"Supported",AND(F48="Supported",D48&lt;&gt;"",E48&lt;&gt;""))),"Yes","No"))</f>
        <v/>
      </c>
    </row>
    <row r="49" spans="11:11">
      <c r="K49" s="11">
        <f>IF(OR(A49="",C49=""),"",IF(AND(COUNTIF(Responses!$A$6:$A$205,A49)=1,B49&lt;&gt;"",COUNTIFS($A$6:$A$2005,A49,$B$6:$B$2005,B49)=1,OR(F49="Supported",F49="Unsupported",F49="Contradicted"),OR(G49="Supported",G49="Wrong citation",G49="Missing citation"),OR(H49="Yes",H49="No"),I49&lt;&gt;"",OR(F49&lt;&gt;"Supported",E49&lt;&gt;""),OR(G49&lt;&gt;"Supported",AND(F49="Supported",D49&lt;&gt;"",E49&lt;&gt;""))),"Yes","No"))</f>
        <v/>
      </c>
    </row>
    <row r="50" spans="11:11">
      <c r="K50" s="11">
        <f>IF(OR(A50="",C50=""),"",IF(AND(COUNTIF(Responses!$A$6:$A$205,A50)=1,B50&lt;&gt;"",COUNTIFS($A$6:$A$2005,A50,$B$6:$B$2005,B50)=1,OR(F50="Supported",F50="Unsupported",F50="Contradicted"),OR(G50="Supported",G50="Wrong citation",G50="Missing citation"),OR(H50="Yes",H50="No"),I50&lt;&gt;"",OR(F50&lt;&gt;"Supported",E50&lt;&gt;""),OR(G50&lt;&gt;"Supported",AND(F50="Supported",D50&lt;&gt;"",E50&lt;&gt;""))),"Yes","No"))</f>
        <v/>
      </c>
    </row>
    <row r="51" spans="11:11">
      <c r="K51" s="11">
        <f>IF(OR(A51="",C51=""),"",IF(AND(COUNTIF(Responses!$A$6:$A$205,A51)=1,B51&lt;&gt;"",COUNTIFS($A$6:$A$2005,A51,$B$6:$B$2005,B51)=1,OR(F51="Supported",F51="Unsupported",F51="Contradicted"),OR(G51="Supported",G51="Wrong citation",G51="Missing citation"),OR(H51="Yes",H51="No"),I51&lt;&gt;"",OR(F51&lt;&gt;"Supported",E51&lt;&gt;""),OR(G51&lt;&gt;"Supported",AND(F51="Supported",D51&lt;&gt;"",E51&lt;&gt;""))),"Yes","No"))</f>
        <v/>
      </c>
    </row>
    <row r="52" spans="11:11">
      <c r="K52" s="11">
        <f>IF(OR(A52="",C52=""),"",IF(AND(COUNTIF(Responses!$A$6:$A$205,A52)=1,B52&lt;&gt;"",COUNTIFS($A$6:$A$2005,A52,$B$6:$B$2005,B52)=1,OR(F52="Supported",F52="Unsupported",F52="Contradicted"),OR(G52="Supported",G52="Wrong citation",G52="Missing citation"),OR(H52="Yes",H52="No"),I52&lt;&gt;"",OR(F52&lt;&gt;"Supported",E52&lt;&gt;""),OR(G52&lt;&gt;"Supported",AND(F52="Supported",D52&lt;&gt;"",E52&lt;&gt;""))),"Yes","No"))</f>
        <v/>
      </c>
    </row>
    <row r="53" spans="11:11">
      <c r="K53" s="11">
        <f>IF(OR(A53="",C53=""),"",IF(AND(COUNTIF(Responses!$A$6:$A$205,A53)=1,B53&lt;&gt;"",COUNTIFS($A$6:$A$2005,A53,$B$6:$B$2005,B53)=1,OR(F53="Supported",F53="Unsupported",F53="Contradicted"),OR(G53="Supported",G53="Wrong citation",G53="Missing citation"),OR(H53="Yes",H53="No"),I53&lt;&gt;"",OR(F53&lt;&gt;"Supported",E53&lt;&gt;""),OR(G53&lt;&gt;"Supported",AND(F53="Supported",D53&lt;&gt;"",E53&lt;&gt;""))),"Yes","No"))</f>
        <v/>
      </c>
    </row>
    <row r="54" spans="11:11">
      <c r="K54" s="11">
        <f>IF(OR(A54="",C54=""),"",IF(AND(COUNTIF(Responses!$A$6:$A$205,A54)=1,B54&lt;&gt;"",COUNTIFS($A$6:$A$2005,A54,$B$6:$B$2005,B54)=1,OR(F54="Supported",F54="Unsupported",F54="Contradicted"),OR(G54="Supported",G54="Wrong citation",G54="Missing citation"),OR(H54="Yes",H54="No"),I54&lt;&gt;"",OR(F54&lt;&gt;"Supported",E54&lt;&gt;""),OR(G54&lt;&gt;"Supported",AND(F54="Supported",D54&lt;&gt;"",E54&lt;&gt;""))),"Yes","No"))</f>
        <v/>
      </c>
    </row>
    <row r="55" spans="11:11">
      <c r="K55" s="11">
        <f>IF(OR(A55="",C55=""),"",IF(AND(COUNTIF(Responses!$A$6:$A$205,A55)=1,B55&lt;&gt;"",COUNTIFS($A$6:$A$2005,A55,$B$6:$B$2005,B55)=1,OR(F55="Supported",F55="Unsupported",F55="Contradicted"),OR(G55="Supported",G55="Wrong citation",G55="Missing citation"),OR(H55="Yes",H55="No"),I55&lt;&gt;"",OR(F55&lt;&gt;"Supported",E55&lt;&gt;""),OR(G55&lt;&gt;"Supported",AND(F55="Supported",D55&lt;&gt;"",E55&lt;&gt;""))),"Yes","No"))</f>
        <v/>
      </c>
    </row>
    <row r="56" spans="11:11">
      <c r="K56" s="11">
        <f>IF(OR(A56="",C56=""),"",IF(AND(COUNTIF(Responses!$A$6:$A$205,A56)=1,B56&lt;&gt;"",COUNTIFS($A$6:$A$2005,A56,$B$6:$B$2005,B56)=1,OR(F56="Supported",F56="Unsupported",F56="Contradicted"),OR(G56="Supported",G56="Wrong citation",G56="Missing citation"),OR(H56="Yes",H56="No"),I56&lt;&gt;"",OR(F56&lt;&gt;"Supported",E56&lt;&gt;""),OR(G56&lt;&gt;"Supported",AND(F56="Supported",D56&lt;&gt;"",E56&lt;&gt;""))),"Yes","No"))</f>
        <v/>
      </c>
    </row>
    <row r="57" spans="11:11">
      <c r="K57" s="11">
        <f>IF(OR(A57="",C57=""),"",IF(AND(COUNTIF(Responses!$A$6:$A$205,A57)=1,B57&lt;&gt;"",COUNTIFS($A$6:$A$2005,A57,$B$6:$B$2005,B57)=1,OR(F57="Supported",F57="Unsupported",F57="Contradicted"),OR(G57="Supported",G57="Wrong citation",G57="Missing citation"),OR(H57="Yes",H57="No"),I57&lt;&gt;"",OR(F57&lt;&gt;"Supported",E57&lt;&gt;""),OR(G57&lt;&gt;"Supported",AND(F57="Supported",D57&lt;&gt;"",E57&lt;&gt;""))),"Yes","No"))</f>
        <v/>
      </c>
    </row>
    <row r="58" spans="11:11">
      <c r="K58" s="11">
        <f>IF(OR(A58="",C58=""),"",IF(AND(COUNTIF(Responses!$A$6:$A$205,A58)=1,B58&lt;&gt;"",COUNTIFS($A$6:$A$2005,A58,$B$6:$B$2005,B58)=1,OR(F58="Supported",F58="Unsupported",F58="Contradicted"),OR(G58="Supported",G58="Wrong citation",G58="Missing citation"),OR(H58="Yes",H58="No"),I58&lt;&gt;"",OR(F58&lt;&gt;"Supported",E58&lt;&gt;""),OR(G58&lt;&gt;"Supported",AND(F58="Supported",D58&lt;&gt;"",E58&lt;&gt;""))),"Yes","No"))</f>
        <v/>
      </c>
    </row>
    <row r="59" spans="11:11">
      <c r="K59" s="11">
        <f>IF(OR(A59="",C59=""),"",IF(AND(COUNTIF(Responses!$A$6:$A$205,A59)=1,B59&lt;&gt;"",COUNTIFS($A$6:$A$2005,A59,$B$6:$B$2005,B59)=1,OR(F59="Supported",F59="Unsupported",F59="Contradicted"),OR(G59="Supported",G59="Wrong citation",G59="Missing citation"),OR(H59="Yes",H59="No"),I59&lt;&gt;"",OR(F59&lt;&gt;"Supported",E59&lt;&gt;""),OR(G59&lt;&gt;"Supported",AND(F59="Supported",D59&lt;&gt;"",E59&lt;&gt;""))),"Yes","No"))</f>
        <v/>
      </c>
    </row>
    <row r="60" spans="11:11">
      <c r="K60" s="11">
        <f>IF(OR(A60="",C60=""),"",IF(AND(COUNTIF(Responses!$A$6:$A$205,A60)=1,B60&lt;&gt;"",COUNTIFS($A$6:$A$2005,A60,$B$6:$B$2005,B60)=1,OR(F60="Supported",F60="Unsupported",F60="Contradicted"),OR(G60="Supported",G60="Wrong citation",G60="Missing citation"),OR(H60="Yes",H60="No"),I60&lt;&gt;"",OR(F60&lt;&gt;"Supported",E60&lt;&gt;""),OR(G60&lt;&gt;"Supported",AND(F60="Supported",D60&lt;&gt;"",E60&lt;&gt;""))),"Yes","No"))</f>
        <v/>
      </c>
    </row>
    <row r="61" spans="11:11">
      <c r="K61" s="11">
        <f>IF(OR(A61="",C61=""),"",IF(AND(COUNTIF(Responses!$A$6:$A$205,A61)=1,B61&lt;&gt;"",COUNTIFS($A$6:$A$2005,A61,$B$6:$B$2005,B61)=1,OR(F61="Supported",F61="Unsupported",F61="Contradicted"),OR(G61="Supported",G61="Wrong citation",G61="Missing citation"),OR(H61="Yes",H61="No"),I61&lt;&gt;"",OR(F61&lt;&gt;"Supported",E61&lt;&gt;""),OR(G61&lt;&gt;"Supported",AND(F61="Supported",D61&lt;&gt;"",E61&lt;&gt;""))),"Yes","No"))</f>
        <v/>
      </c>
    </row>
    <row r="62" spans="11:11">
      <c r="K62" s="11">
        <f>IF(OR(A62="",C62=""),"",IF(AND(COUNTIF(Responses!$A$6:$A$205,A62)=1,B62&lt;&gt;"",COUNTIFS($A$6:$A$2005,A62,$B$6:$B$2005,B62)=1,OR(F62="Supported",F62="Unsupported",F62="Contradicted"),OR(G62="Supported",G62="Wrong citation",G62="Missing citation"),OR(H62="Yes",H62="No"),I62&lt;&gt;"",OR(F62&lt;&gt;"Supported",E62&lt;&gt;""),OR(G62&lt;&gt;"Supported",AND(F62="Supported",D62&lt;&gt;"",E62&lt;&gt;""))),"Yes","No"))</f>
        <v/>
      </c>
    </row>
    <row r="63" spans="11:11">
      <c r="K63" s="11">
        <f>IF(OR(A63="",C63=""),"",IF(AND(COUNTIF(Responses!$A$6:$A$205,A63)=1,B63&lt;&gt;"",COUNTIFS($A$6:$A$2005,A63,$B$6:$B$2005,B63)=1,OR(F63="Supported",F63="Unsupported",F63="Contradicted"),OR(G63="Supported",G63="Wrong citation",G63="Missing citation"),OR(H63="Yes",H63="No"),I63&lt;&gt;"",OR(F63&lt;&gt;"Supported",E63&lt;&gt;""),OR(G63&lt;&gt;"Supported",AND(F63="Supported",D63&lt;&gt;"",E63&lt;&gt;""))),"Yes","No"))</f>
        <v/>
      </c>
    </row>
    <row r="64" spans="11:11">
      <c r="K64" s="11">
        <f>IF(OR(A64="",C64=""),"",IF(AND(COUNTIF(Responses!$A$6:$A$205,A64)=1,B64&lt;&gt;"",COUNTIFS($A$6:$A$2005,A64,$B$6:$B$2005,B64)=1,OR(F64="Supported",F64="Unsupported",F64="Contradicted"),OR(G64="Supported",G64="Wrong citation",G64="Missing citation"),OR(H64="Yes",H64="No"),I64&lt;&gt;"",OR(F64&lt;&gt;"Supported",E64&lt;&gt;""),OR(G64&lt;&gt;"Supported",AND(F64="Supported",D64&lt;&gt;"",E64&lt;&gt;""))),"Yes","No"))</f>
        <v/>
      </c>
    </row>
    <row r="65" spans="11:11">
      <c r="K65" s="11">
        <f>IF(OR(A65="",C65=""),"",IF(AND(COUNTIF(Responses!$A$6:$A$205,A65)=1,B65&lt;&gt;"",COUNTIFS($A$6:$A$2005,A65,$B$6:$B$2005,B65)=1,OR(F65="Supported",F65="Unsupported",F65="Contradicted"),OR(G65="Supported",G65="Wrong citation",G65="Missing citation"),OR(H65="Yes",H65="No"),I65&lt;&gt;"",OR(F65&lt;&gt;"Supported",E65&lt;&gt;""),OR(G65&lt;&gt;"Supported",AND(F65="Supported",D65&lt;&gt;"",E65&lt;&gt;""))),"Yes","No"))</f>
        <v/>
      </c>
    </row>
    <row r="66" spans="11:11">
      <c r="K66" s="11">
        <f>IF(OR(A66="",C66=""),"",IF(AND(COUNTIF(Responses!$A$6:$A$205,A66)=1,B66&lt;&gt;"",COUNTIFS($A$6:$A$2005,A66,$B$6:$B$2005,B66)=1,OR(F66="Supported",F66="Unsupported",F66="Contradicted"),OR(G66="Supported",G66="Wrong citation",G66="Missing citation"),OR(H66="Yes",H66="No"),I66&lt;&gt;"",OR(F66&lt;&gt;"Supported",E66&lt;&gt;""),OR(G66&lt;&gt;"Supported",AND(F66="Supported",D66&lt;&gt;"",E66&lt;&gt;""))),"Yes","No"))</f>
        <v/>
      </c>
    </row>
    <row r="67" spans="11:11">
      <c r="K67" s="11">
        <f>IF(OR(A67="",C67=""),"",IF(AND(COUNTIF(Responses!$A$6:$A$205,A67)=1,B67&lt;&gt;"",COUNTIFS($A$6:$A$2005,A67,$B$6:$B$2005,B67)=1,OR(F67="Supported",F67="Unsupported",F67="Contradicted"),OR(G67="Supported",G67="Wrong citation",G67="Missing citation"),OR(H67="Yes",H67="No"),I67&lt;&gt;"",OR(F67&lt;&gt;"Supported",E67&lt;&gt;""),OR(G67&lt;&gt;"Supported",AND(F67="Supported",D67&lt;&gt;"",E67&lt;&gt;""))),"Yes","No"))</f>
        <v/>
      </c>
    </row>
    <row r="68" spans="11:11">
      <c r="K68" s="11">
        <f>IF(OR(A68="",C68=""),"",IF(AND(COUNTIF(Responses!$A$6:$A$205,A68)=1,B68&lt;&gt;"",COUNTIFS($A$6:$A$2005,A68,$B$6:$B$2005,B68)=1,OR(F68="Supported",F68="Unsupported",F68="Contradicted"),OR(G68="Supported",G68="Wrong citation",G68="Missing citation"),OR(H68="Yes",H68="No"),I68&lt;&gt;"",OR(F68&lt;&gt;"Supported",E68&lt;&gt;""),OR(G68&lt;&gt;"Supported",AND(F68="Supported",D68&lt;&gt;"",E68&lt;&gt;""))),"Yes","No"))</f>
        <v/>
      </c>
    </row>
    <row r="69" spans="11:11">
      <c r="K69" s="11">
        <f>IF(OR(A69="",C69=""),"",IF(AND(COUNTIF(Responses!$A$6:$A$205,A69)=1,B69&lt;&gt;"",COUNTIFS($A$6:$A$2005,A69,$B$6:$B$2005,B69)=1,OR(F69="Supported",F69="Unsupported",F69="Contradicted"),OR(G69="Supported",G69="Wrong citation",G69="Missing citation"),OR(H69="Yes",H69="No"),I69&lt;&gt;"",OR(F69&lt;&gt;"Supported",E69&lt;&gt;""),OR(G69&lt;&gt;"Supported",AND(F69="Supported",D69&lt;&gt;"",E69&lt;&gt;""))),"Yes","No"))</f>
        <v/>
      </c>
    </row>
    <row r="70" spans="11:11">
      <c r="K70" s="11">
        <f>IF(OR(A70="",C70=""),"",IF(AND(COUNTIF(Responses!$A$6:$A$205,A70)=1,B70&lt;&gt;"",COUNTIFS($A$6:$A$2005,A70,$B$6:$B$2005,B70)=1,OR(F70="Supported",F70="Unsupported",F70="Contradicted"),OR(G70="Supported",G70="Wrong citation",G70="Missing citation"),OR(H70="Yes",H70="No"),I70&lt;&gt;"",OR(F70&lt;&gt;"Supported",E70&lt;&gt;""),OR(G70&lt;&gt;"Supported",AND(F70="Supported",D70&lt;&gt;"",E70&lt;&gt;""))),"Yes","No"))</f>
        <v/>
      </c>
    </row>
    <row r="71" spans="11:11">
      <c r="K71" s="11">
        <f>IF(OR(A71="",C71=""),"",IF(AND(COUNTIF(Responses!$A$6:$A$205,A71)=1,B71&lt;&gt;"",COUNTIFS($A$6:$A$2005,A71,$B$6:$B$2005,B71)=1,OR(F71="Supported",F71="Unsupported",F71="Contradicted"),OR(G71="Supported",G71="Wrong citation",G71="Missing citation"),OR(H71="Yes",H71="No"),I71&lt;&gt;"",OR(F71&lt;&gt;"Supported",E71&lt;&gt;""),OR(G71&lt;&gt;"Supported",AND(F71="Supported",D71&lt;&gt;"",E71&lt;&gt;""))),"Yes","No"))</f>
        <v/>
      </c>
    </row>
    <row r="72" spans="11:11">
      <c r="K72" s="11">
        <f>IF(OR(A72="",C72=""),"",IF(AND(COUNTIF(Responses!$A$6:$A$205,A72)=1,B72&lt;&gt;"",COUNTIFS($A$6:$A$2005,A72,$B$6:$B$2005,B72)=1,OR(F72="Supported",F72="Unsupported",F72="Contradicted"),OR(G72="Supported",G72="Wrong citation",G72="Missing citation"),OR(H72="Yes",H72="No"),I72&lt;&gt;"",OR(F72&lt;&gt;"Supported",E72&lt;&gt;""),OR(G72&lt;&gt;"Supported",AND(F72="Supported",D72&lt;&gt;"",E72&lt;&gt;""))),"Yes","No"))</f>
        <v/>
      </c>
    </row>
    <row r="73" spans="11:11">
      <c r="K73" s="11">
        <f>IF(OR(A73="",C73=""),"",IF(AND(COUNTIF(Responses!$A$6:$A$205,A73)=1,B73&lt;&gt;"",COUNTIFS($A$6:$A$2005,A73,$B$6:$B$2005,B73)=1,OR(F73="Supported",F73="Unsupported",F73="Contradicted"),OR(G73="Supported",G73="Wrong citation",G73="Missing citation"),OR(H73="Yes",H73="No"),I73&lt;&gt;"",OR(F73&lt;&gt;"Supported",E73&lt;&gt;""),OR(G73&lt;&gt;"Supported",AND(F73="Supported",D73&lt;&gt;"",E73&lt;&gt;""))),"Yes","No"))</f>
        <v/>
      </c>
    </row>
    <row r="74" spans="11:11">
      <c r="K74" s="11">
        <f>IF(OR(A74="",C74=""),"",IF(AND(COUNTIF(Responses!$A$6:$A$205,A74)=1,B74&lt;&gt;"",COUNTIFS($A$6:$A$2005,A74,$B$6:$B$2005,B74)=1,OR(F74="Supported",F74="Unsupported",F74="Contradicted"),OR(G74="Supported",G74="Wrong citation",G74="Missing citation"),OR(H74="Yes",H74="No"),I74&lt;&gt;"",OR(F74&lt;&gt;"Supported",E74&lt;&gt;""),OR(G74&lt;&gt;"Supported",AND(F74="Supported",D74&lt;&gt;"",E74&lt;&gt;""))),"Yes","No"))</f>
        <v/>
      </c>
    </row>
    <row r="75" spans="11:11">
      <c r="K75" s="11">
        <f>IF(OR(A75="",C75=""),"",IF(AND(COUNTIF(Responses!$A$6:$A$205,A75)=1,B75&lt;&gt;"",COUNTIFS($A$6:$A$2005,A75,$B$6:$B$2005,B75)=1,OR(F75="Supported",F75="Unsupported",F75="Contradicted"),OR(G75="Supported",G75="Wrong citation",G75="Missing citation"),OR(H75="Yes",H75="No"),I75&lt;&gt;"",OR(F75&lt;&gt;"Supported",E75&lt;&gt;""),OR(G75&lt;&gt;"Supported",AND(F75="Supported",D75&lt;&gt;"",E75&lt;&gt;""))),"Yes","No"))</f>
        <v/>
      </c>
    </row>
    <row r="76" spans="11:11">
      <c r="K76" s="11">
        <f>IF(OR(A76="",C76=""),"",IF(AND(COUNTIF(Responses!$A$6:$A$205,A76)=1,B76&lt;&gt;"",COUNTIFS($A$6:$A$2005,A76,$B$6:$B$2005,B76)=1,OR(F76="Supported",F76="Unsupported",F76="Contradicted"),OR(G76="Supported",G76="Wrong citation",G76="Missing citation"),OR(H76="Yes",H76="No"),I76&lt;&gt;"",OR(F76&lt;&gt;"Supported",E76&lt;&gt;""),OR(G76&lt;&gt;"Supported",AND(F76="Supported",D76&lt;&gt;"",E76&lt;&gt;""))),"Yes","No"))</f>
        <v/>
      </c>
    </row>
    <row r="77" spans="11:11">
      <c r="K77" s="11">
        <f>IF(OR(A77="",C77=""),"",IF(AND(COUNTIF(Responses!$A$6:$A$205,A77)=1,B77&lt;&gt;"",COUNTIFS($A$6:$A$2005,A77,$B$6:$B$2005,B77)=1,OR(F77="Supported",F77="Unsupported",F77="Contradicted"),OR(G77="Supported",G77="Wrong citation",G77="Missing citation"),OR(H77="Yes",H77="No"),I77&lt;&gt;"",OR(F77&lt;&gt;"Supported",E77&lt;&gt;""),OR(G77&lt;&gt;"Supported",AND(F77="Supported",D77&lt;&gt;"",E77&lt;&gt;""))),"Yes","No"))</f>
        <v/>
      </c>
    </row>
    <row r="78" spans="11:11">
      <c r="K78" s="11">
        <f>IF(OR(A78="",C78=""),"",IF(AND(COUNTIF(Responses!$A$6:$A$205,A78)=1,B78&lt;&gt;"",COUNTIFS($A$6:$A$2005,A78,$B$6:$B$2005,B78)=1,OR(F78="Supported",F78="Unsupported",F78="Contradicted"),OR(G78="Supported",G78="Wrong citation",G78="Missing citation"),OR(H78="Yes",H78="No"),I78&lt;&gt;"",OR(F78&lt;&gt;"Supported",E78&lt;&gt;""),OR(G78&lt;&gt;"Supported",AND(F78="Supported",D78&lt;&gt;"",E78&lt;&gt;""))),"Yes","No"))</f>
        <v/>
      </c>
    </row>
    <row r="79" spans="11:11">
      <c r="K79" s="11">
        <f>IF(OR(A79="",C79=""),"",IF(AND(COUNTIF(Responses!$A$6:$A$205,A79)=1,B79&lt;&gt;"",COUNTIFS($A$6:$A$2005,A79,$B$6:$B$2005,B79)=1,OR(F79="Supported",F79="Unsupported",F79="Contradicted"),OR(G79="Supported",G79="Wrong citation",G79="Missing citation"),OR(H79="Yes",H79="No"),I79&lt;&gt;"",OR(F79&lt;&gt;"Supported",E79&lt;&gt;""),OR(G79&lt;&gt;"Supported",AND(F79="Supported",D79&lt;&gt;"",E79&lt;&gt;""))),"Yes","No"))</f>
        <v/>
      </c>
    </row>
    <row r="80" spans="11:11">
      <c r="K80" s="11">
        <f>IF(OR(A80="",C80=""),"",IF(AND(COUNTIF(Responses!$A$6:$A$205,A80)=1,B80&lt;&gt;"",COUNTIFS($A$6:$A$2005,A80,$B$6:$B$2005,B80)=1,OR(F80="Supported",F80="Unsupported",F80="Contradicted"),OR(G80="Supported",G80="Wrong citation",G80="Missing citation"),OR(H80="Yes",H80="No"),I80&lt;&gt;"",OR(F80&lt;&gt;"Supported",E80&lt;&gt;""),OR(G80&lt;&gt;"Supported",AND(F80="Supported",D80&lt;&gt;"",E80&lt;&gt;""))),"Yes","No"))</f>
        <v/>
      </c>
    </row>
    <row r="81" spans="11:11">
      <c r="K81" s="11">
        <f>IF(OR(A81="",C81=""),"",IF(AND(COUNTIF(Responses!$A$6:$A$205,A81)=1,B81&lt;&gt;"",COUNTIFS($A$6:$A$2005,A81,$B$6:$B$2005,B81)=1,OR(F81="Supported",F81="Unsupported",F81="Contradicted"),OR(G81="Supported",G81="Wrong citation",G81="Missing citation"),OR(H81="Yes",H81="No"),I81&lt;&gt;"",OR(F81&lt;&gt;"Supported",E81&lt;&gt;""),OR(G81&lt;&gt;"Supported",AND(F81="Supported",D81&lt;&gt;"",E81&lt;&gt;""))),"Yes","No"))</f>
        <v/>
      </c>
    </row>
    <row r="82" spans="11:11">
      <c r="K82" s="11">
        <f>IF(OR(A82="",C82=""),"",IF(AND(COUNTIF(Responses!$A$6:$A$205,A82)=1,B82&lt;&gt;"",COUNTIFS($A$6:$A$2005,A82,$B$6:$B$2005,B82)=1,OR(F82="Supported",F82="Unsupported",F82="Contradicted"),OR(G82="Supported",G82="Wrong citation",G82="Missing citation"),OR(H82="Yes",H82="No"),I82&lt;&gt;"",OR(F82&lt;&gt;"Supported",E82&lt;&gt;""),OR(G82&lt;&gt;"Supported",AND(F82="Supported",D82&lt;&gt;"",E82&lt;&gt;""))),"Yes","No"))</f>
        <v/>
      </c>
    </row>
    <row r="83" spans="11:11">
      <c r="K83" s="11">
        <f>IF(OR(A83="",C83=""),"",IF(AND(COUNTIF(Responses!$A$6:$A$205,A83)=1,B83&lt;&gt;"",COUNTIFS($A$6:$A$2005,A83,$B$6:$B$2005,B83)=1,OR(F83="Supported",F83="Unsupported",F83="Contradicted"),OR(G83="Supported",G83="Wrong citation",G83="Missing citation"),OR(H83="Yes",H83="No"),I83&lt;&gt;"",OR(F83&lt;&gt;"Supported",E83&lt;&gt;""),OR(G83&lt;&gt;"Supported",AND(F83="Supported",D83&lt;&gt;"",E83&lt;&gt;""))),"Yes","No"))</f>
        <v/>
      </c>
    </row>
    <row r="84" spans="11:11">
      <c r="K84" s="11">
        <f>IF(OR(A84="",C84=""),"",IF(AND(COUNTIF(Responses!$A$6:$A$205,A84)=1,B84&lt;&gt;"",COUNTIFS($A$6:$A$2005,A84,$B$6:$B$2005,B84)=1,OR(F84="Supported",F84="Unsupported",F84="Contradicted"),OR(G84="Supported",G84="Wrong citation",G84="Missing citation"),OR(H84="Yes",H84="No"),I84&lt;&gt;"",OR(F84&lt;&gt;"Supported",E84&lt;&gt;""),OR(G84&lt;&gt;"Supported",AND(F84="Supported",D84&lt;&gt;"",E84&lt;&gt;""))),"Yes","No"))</f>
        <v/>
      </c>
    </row>
    <row r="85" spans="11:11">
      <c r="K85" s="11">
        <f>IF(OR(A85="",C85=""),"",IF(AND(COUNTIF(Responses!$A$6:$A$205,A85)=1,B85&lt;&gt;"",COUNTIFS($A$6:$A$2005,A85,$B$6:$B$2005,B85)=1,OR(F85="Supported",F85="Unsupported",F85="Contradicted"),OR(G85="Supported",G85="Wrong citation",G85="Missing citation"),OR(H85="Yes",H85="No"),I85&lt;&gt;"",OR(F85&lt;&gt;"Supported",E85&lt;&gt;""),OR(G85&lt;&gt;"Supported",AND(F85="Supported",D85&lt;&gt;"",E85&lt;&gt;""))),"Yes","No"))</f>
        <v/>
      </c>
    </row>
    <row r="86" spans="11:11">
      <c r="K86" s="11">
        <f>IF(OR(A86="",C86=""),"",IF(AND(COUNTIF(Responses!$A$6:$A$205,A86)=1,B86&lt;&gt;"",COUNTIFS($A$6:$A$2005,A86,$B$6:$B$2005,B86)=1,OR(F86="Supported",F86="Unsupported",F86="Contradicted"),OR(G86="Supported",G86="Wrong citation",G86="Missing citation"),OR(H86="Yes",H86="No"),I86&lt;&gt;"",OR(F86&lt;&gt;"Supported",E86&lt;&gt;""),OR(G86&lt;&gt;"Supported",AND(F86="Supported",D86&lt;&gt;"",E86&lt;&gt;""))),"Yes","No"))</f>
        <v/>
      </c>
    </row>
    <row r="87" spans="11:11">
      <c r="K87" s="11">
        <f>IF(OR(A87="",C87=""),"",IF(AND(COUNTIF(Responses!$A$6:$A$205,A87)=1,B87&lt;&gt;"",COUNTIFS($A$6:$A$2005,A87,$B$6:$B$2005,B87)=1,OR(F87="Supported",F87="Unsupported",F87="Contradicted"),OR(G87="Supported",G87="Wrong citation",G87="Missing citation"),OR(H87="Yes",H87="No"),I87&lt;&gt;"",OR(F87&lt;&gt;"Supported",E87&lt;&gt;""),OR(G87&lt;&gt;"Supported",AND(F87="Supported",D87&lt;&gt;"",E87&lt;&gt;""))),"Yes","No"))</f>
        <v/>
      </c>
    </row>
    <row r="88" spans="11:11">
      <c r="K88" s="11">
        <f>IF(OR(A88="",C88=""),"",IF(AND(COUNTIF(Responses!$A$6:$A$205,A88)=1,B88&lt;&gt;"",COUNTIFS($A$6:$A$2005,A88,$B$6:$B$2005,B88)=1,OR(F88="Supported",F88="Unsupported",F88="Contradicted"),OR(G88="Supported",G88="Wrong citation",G88="Missing citation"),OR(H88="Yes",H88="No"),I88&lt;&gt;"",OR(F88&lt;&gt;"Supported",E88&lt;&gt;""),OR(G88&lt;&gt;"Supported",AND(F88="Supported",D88&lt;&gt;"",E88&lt;&gt;""))),"Yes","No"))</f>
        <v/>
      </c>
    </row>
    <row r="89" spans="11:11">
      <c r="K89" s="11">
        <f>IF(OR(A89="",C89=""),"",IF(AND(COUNTIF(Responses!$A$6:$A$205,A89)=1,B89&lt;&gt;"",COUNTIFS($A$6:$A$2005,A89,$B$6:$B$2005,B89)=1,OR(F89="Supported",F89="Unsupported",F89="Contradicted"),OR(G89="Supported",G89="Wrong citation",G89="Missing citation"),OR(H89="Yes",H89="No"),I89&lt;&gt;"",OR(F89&lt;&gt;"Supported",E89&lt;&gt;""),OR(G89&lt;&gt;"Supported",AND(F89="Supported",D89&lt;&gt;"",E89&lt;&gt;""))),"Yes","No"))</f>
        <v/>
      </c>
    </row>
    <row r="90" spans="11:11">
      <c r="K90" s="11">
        <f>IF(OR(A90="",C90=""),"",IF(AND(COUNTIF(Responses!$A$6:$A$205,A90)=1,B90&lt;&gt;"",COUNTIFS($A$6:$A$2005,A90,$B$6:$B$2005,B90)=1,OR(F90="Supported",F90="Unsupported",F90="Contradicted"),OR(G90="Supported",G90="Wrong citation",G90="Missing citation"),OR(H90="Yes",H90="No"),I90&lt;&gt;"",OR(F90&lt;&gt;"Supported",E90&lt;&gt;""),OR(G90&lt;&gt;"Supported",AND(F90="Supported",D90&lt;&gt;"",E90&lt;&gt;""))),"Yes","No"))</f>
        <v/>
      </c>
    </row>
    <row r="91" spans="11:11">
      <c r="K91" s="11">
        <f>IF(OR(A91="",C91=""),"",IF(AND(COUNTIF(Responses!$A$6:$A$205,A91)=1,B91&lt;&gt;"",COUNTIFS($A$6:$A$2005,A91,$B$6:$B$2005,B91)=1,OR(F91="Supported",F91="Unsupported",F91="Contradicted"),OR(G91="Supported",G91="Wrong citation",G91="Missing citation"),OR(H91="Yes",H91="No"),I91&lt;&gt;"",OR(F91&lt;&gt;"Supported",E91&lt;&gt;""),OR(G91&lt;&gt;"Supported",AND(F91="Supported",D91&lt;&gt;"",E91&lt;&gt;""))),"Yes","No"))</f>
        <v/>
      </c>
    </row>
    <row r="92" spans="11:11">
      <c r="K92" s="11">
        <f>IF(OR(A92="",C92=""),"",IF(AND(COUNTIF(Responses!$A$6:$A$205,A92)=1,B92&lt;&gt;"",COUNTIFS($A$6:$A$2005,A92,$B$6:$B$2005,B92)=1,OR(F92="Supported",F92="Unsupported",F92="Contradicted"),OR(G92="Supported",G92="Wrong citation",G92="Missing citation"),OR(H92="Yes",H92="No"),I92&lt;&gt;"",OR(F92&lt;&gt;"Supported",E92&lt;&gt;""),OR(G92&lt;&gt;"Supported",AND(F92="Supported",D92&lt;&gt;"",E92&lt;&gt;""))),"Yes","No"))</f>
        <v/>
      </c>
    </row>
    <row r="93" spans="11:11">
      <c r="K93" s="11">
        <f>IF(OR(A93="",C93=""),"",IF(AND(COUNTIF(Responses!$A$6:$A$205,A93)=1,B93&lt;&gt;"",COUNTIFS($A$6:$A$2005,A93,$B$6:$B$2005,B93)=1,OR(F93="Supported",F93="Unsupported",F93="Contradicted"),OR(G93="Supported",G93="Wrong citation",G93="Missing citation"),OR(H93="Yes",H93="No"),I93&lt;&gt;"",OR(F93&lt;&gt;"Supported",E93&lt;&gt;""),OR(G93&lt;&gt;"Supported",AND(F93="Supported",D93&lt;&gt;"",E93&lt;&gt;""))),"Yes","No"))</f>
        <v/>
      </c>
    </row>
    <row r="94" spans="11:11">
      <c r="K94" s="11">
        <f>IF(OR(A94="",C94=""),"",IF(AND(COUNTIF(Responses!$A$6:$A$205,A94)=1,B94&lt;&gt;"",COUNTIFS($A$6:$A$2005,A94,$B$6:$B$2005,B94)=1,OR(F94="Supported",F94="Unsupported",F94="Contradicted"),OR(G94="Supported",G94="Wrong citation",G94="Missing citation"),OR(H94="Yes",H94="No"),I94&lt;&gt;"",OR(F94&lt;&gt;"Supported",E94&lt;&gt;""),OR(G94&lt;&gt;"Supported",AND(F94="Supported",D94&lt;&gt;"",E94&lt;&gt;""))),"Yes","No"))</f>
        <v/>
      </c>
    </row>
    <row r="95" spans="11:11">
      <c r="K95" s="11">
        <f>IF(OR(A95="",C95=""),"",IF(AND(COUNTIF(Responses!$A$6:$A$205,A95)=1,B95&lt;&gt;"",COUNTIFS($A$6:$A$2005,A95,$B$6:$B$2005,B95)=1,OR(F95="Supported",F95="Unsupported",F95="Contradicted"),OR(G95="Supported",G95="Wrong citation",G95="Missing citation"),OR(H95="Yes",H95="No"),I95&lt;&gt;"",OR(F95&lt;&gt;"Supported",E95&lt;&gt;""),OR(G95&lt;&gt;"Supported",AND(F95="Supported",D95&lt;&gt;"",E95&lt;&gt;""))),"Yes","No"))</f>
        <v/>
      </c>
    </row>
    <row r="96" spans="11:11">
      <c r="K96" s="11">
        <f>IF(OR(A96="",C96=""),"",IF(AND(COUNTIF(Responses!$A$6:$A$205,A96)=1,B96&lt;&gt;"",COUNTIFS($A$6:$A$2005,A96,$B$6:$B$2005,B96)=1,OR(F96="Supported",F96="Unsupported",F96="Contradicted"),OR(G96="Supported",G96="Wrong citation",G96="Missing citation"),OR(H96="Yes",H96="No"),I96&lt;&gt;"",OR(F96&lt;&gt;"Supported",E96&lt;&gt;""),OR(G96&lt;&gt;"Supported",AND(F96="Supported",D96&lt;&gt;"",E96&lt;&gt;""))),"Yes","No"))</f>
        <v/>
      </c>
    </row>
    <row r="97" spans="11:11">
      <c r="K97" s="11">
        <f>IF(OR(A97="",C97=""),"",IF(AND(COUNTIF(Responses!$A$6:$A$205,A97)=1,B97&lt;&gt;"",COUNTIFS($A$6:$A$2005,A97,$B$6:$B$2005,B97)=1,OR(F97="Supported",F97="Unsupported",F97="Contradicted"),OR(G97="Supported",G97="Wrong citation",G97="Missing citation"),OR(H97="Yes",H97="No"),I97&lt;&gt;"",OR(F97&lt;&gt;"Supported",E97&lt;&gt;""),OR(G97&lt;&gt;"Supported",AND(F97="Supported",D97&lt;&gt;"",E97&lt;&gt;""))),"Yes","No"))</f>
        <v/>
      </c>
    </row>
    <row r="98" spans="11:11">
      <c r="K98" s="11">
        <f>IF(OR(A98="",C98=""),"",IF(AND(COUNTIF(Responses!$A$6:$A$205,A98)=1,B98&lt;&gt;"",COUNTIFS($A$6:$A$2005,A98,$B$6:$B$2005,B98)=1,OR(F98="Supported",F98="Unsupported",F98="Contradicted"),OR(G98="Supported",G98="Wrong citation",G98="Missing citation"),OR(H98="Yes",H98="No"),I98&lt;&gt;"",OR(F98&lt;&gt;"Supported",E98&lt;&gt;""),OR(G98&lt;&gt;"Supported",AND(F98="Supported",D98&lt;&gt;"",E98&lt;&gt;""))),"Yes","No"))</f>
        <v/>
      </c>
    </row>
    <row r="99" spans="11:11">
      <c r="K99" s="11">
        <f>IF(OR(A99="",C99=""),"",IF(AND(COUNTIF(Responses!$A$6:$A$205,A99)=1,B99&lt;&gt;"",COUNTIFS($A$6:$A$2005,A99,$B$6:$B$2005,B99)=1,OR(F99="Supported",F99="Unsupported",F99="Contradicted"),OR(G99="Supported",G99="Wrong citation",G99="Missing citation"),OR(H99="Yes",H99="No"),I99&lt;&gt;"",OR(F99&lt;&gt;"Supported",E99&lt;&gt;""),OR(G99&lt;&gt;"Supported",AND(F99="Supported",D99&lt;&gt;"",E99&lt;&gt;""))),"Yes","No"))</f>
        <v/>
      </c>
    </row>
    <row r="100" spans="11:11">
      <c r="K100" s="11">
        <f>IF(OR(A100="",C100=""),"",IF(AND(COUNTIF(Responses!$A$6:$A$205,A100)=1,B100&lt;&gt;"",COUNTIFS($A$6:$A$2005,A100,$B$6:$B$2005,B100)=1,OR(F100="Supported",F100="Unsupported",F100="Contradicted"),OR(G100="Supported",G100="Wrong citation",G100="Missing citation"),OR(H100="Yes",H100="No"),I100&lt;&gt;"",OR(F100&lt;&gt;"Supported",E100&lt;&gt;""),OR(G100&lt;&gt;"Supported",AND(F100="Supported",D100&lt;&gt;"",E100&lt;&gt;""))),"Yes","No"))</f>
        <v/>
      </c>
    </row>
    <row r="101" spans="11:11">
      <c r="K101" s="11">
        <f>IF(OR(A101="",C101=""),"",IF(AND(COUNTIF(Responses!$A$6:$A$205,A101)=1,B101&lt;&gt;"",COUNTIFS($A$6:$A$2005,A101,$B$6:$B$2005,B101)=1,OR(F101="Supported",F101="Unsupported",F101="Contradicted"),OR(G101="Supported",G101="Wrong citation",G101="Missing citation"),OR(H101="Yes",H101="No"),I101&lt;&gt;"",OR(F101&lt;&gt;"Supported",E101&lt;&gt;""),OR(G101&lt;&gt;"Supported",AND(F101="Supported",D101&lt;&gt;"",E101&lt;&gt;""))),"Yes","No"))</f>
        <v/>
      </c>
    </row>
    <row r="102" spans="11:11">
      <c r="K102" s="11">
        <f>IF(OR(A102="",C102=""),"",IF(AND(COUNTIF(Responses!$A$6:$A$205,A102)=1,B102&lt;&gt;"",COUNTIFS($A$6:$A$2005,A102,$B$6:$B$2005,B102)=1,OR(F102="Supported",F102="Unsupported",F102="Contradicted"),OR(G102="Supported",G102="Wrong citation",G102="Missing citation"),OR(H102="Yes",H102="No"),I102&lt;&gt;"",OR(F102&lt;&gt;"Supported",E102&lt;&gt;""),OR(G102&lt;&gt;"Supported",AND(F102="Supported",D102&lt;&gt;"",E102&lt;&gt;""))),"Yes","No"))</f>
        <v/>
      </c>
    </row>
    <row r="103" spans="11:11">
      <c r="K103" s="11">
        <f>IF(OR(A103="",C103=""),"",IF(AND(COUNTIF(Responses!$A$6:$A$205,A103)=1,B103&lt;&gt;"",COUNTIFS($A$6:$A$2005,A103,$B$6:$B$2005,B103)=1,OR(F103="Supported",F103="Unsupported",F103="Contradicted"),OR(G103="Supported",G103="Wrong citation",G103="Missing citation"),OR(H103="Yes",H103="No"),I103&lt;&gt;"",OR(F103&lt;&gt;"Supported",E103&lt;&gt;""),OR(G103&lt;&gt;"Supported",AND(F103="Supported",D103&lt;&gt;"",E103&lt;&gt;""))),"Yes","No"))</f>
        <v/>
      </c>
    </row>
    <row r="104" spans="11:11">
      <c r="K104" s="11">
        <f>IF(OR(A104="",C104=""),"",IF(AND(COUNTIF(Responses!$A$6:$A$205,A104)=1,B104&lt;&gt;"",COUNTIFS($A$6:$A$2005,A104,$B$6:$B$2005,B104)=1,OR(F104="Supported",F104="Unsupported",F104="Contradicted"),OR(G104="Supported",G104="Wrong citation",G104="Missing citation"),OR(H104="Yes",H104="No"),I104&lt;&gt;"",OR(F104&lt;&gt;"Supported",E104&lt;&gt;""),OR(G104&lt;&gt;"Supported",AND(F104="Supported",D104&lt;&gt;"",E104&lt;&gt;""))),"Yes","No"))</f>
        <v/>
      </c>
    </row>
    <row r="105" spans="11:11">
      <c r="K105" s="11">
        <f>IF(OR(A105="",C105=""),"",IF(AND(COUNTIF(Responses!$A$6:$A$205,A105)=1,B105&lt;&gt;"",COUNTIFS($A$6:$A$2005,A105,$B$6:$B$2005,B105)=1,OR(F105="Supported",F105="Unsupported",F105="Contradicted"),OR(G105="Supported",G105="Wrong citation",G105="Missing citation"),OR(H105="Yes",H105="No"),I105&lt;&gt;"",OR(F105&lt;&gt;"Supported",E105&lt;&gt;""),OR(G105&lt;&gt;"Supported",AND(F105="Supported",D105&lt;&gt;"",E105&lt;&gt;""))),"Yes","No"))</f>
        <v/>
      </c>
    </row>
    <row r="106" spans="11:11">
      <c r="K106" s="11">
        <f>IF(OR(A106="",C106=""),"",IF(AND(COUNTIF(Responses!$A$6:$A$205,A106)=1,B106&lt;&gt;"",COUNTIFS($A$6:$A$2005,A106,$B$6:$B$2005,B106)=1,OR(F106="Supported",F106="Unsupported",F106="Contradicted"),OR(G106="Supported",G106="Wrong citation",G106="Missing citation"),OR(H106="Yes",H106="No"),I106&lt;&gt;"",OR(F106&lt;&gt;"Supported",E106&lt;&gt;""),OR(G106&lt;&gt;"Supported",AND(F106="Supported",D106&lt;&gt;"",E106&lt;&gt;""))),"Yes","No"))</f>
        <v/>
      </c>
    </row>
    <row r="107" spans="11:11">
      <c r="K107" s="11">
        <f>IF(OR(A107="",C107=""),"",IF(AND(COUNTIF(Responses!$A$6:$A$205,A107)=1,B107&lt;&gt;"",COUNTIFS($A$6:$A$2005,A107,$B$6:$B$2005,B107)=1,OR(F107="Supported",F107="Unsupported",F107="Contradicted"),OR(G107="Supported",G107="Wrong citation",G107="Missing citation"),OR(H107="Yes",H107="No"),I107&lt;&gt;"",OR(F107&lt;&gt;"Supported",E107&lt;&gt;""),OR(G107&lt;&gt;"Supported",AND(F107="Supported",D107&lt;&gt;"",E107&lt;&gt;""))),"Yes","No"))</f>
        <v/>
      </c>
    </row>
    <row r="108" spans="11:11">
      <c r="K108" s="11">
        <f>IF(OR(A108="",C108=""),"",IF(AND(COUNTIF(Responses!$A$6:$A$205,A108)=1,B108&lt;&gt;"",COUNTIFS($A$6:$A$2005,A108,$B$6:$B$2005,B108)=1,OR(F108="Supported",F108="Unsupported",F108="Contradicted"),OR(G108="Supported",G108="Wrong citation",G108="Missing citation"),OR(H108="Yes",H108="No"),I108&lt;&gt;"",OR(F108&lt;&gt;"Supported",E108&lt;&gt;""),OR(G108&lt;&gt;"Supported",AND(F108="Supported",D108&lt;&gt;"",E108&lt;&gt;""))),"Yes","No"))</f>
        <v/>
      </c>
    </row>
    <row r="109" spans="11:11">
      <c r="K109" s="11">
        <f>IF(OR(A109="",C109=""),"",IF(AND(COUNTIF(Responses!$A$6:$A$205,A109)=1,B109&lt;&gt;"",COUNTIFS($A$6:$A$2005,A109,$B$6:$B$2005,B109)=1,OR(F109="Supported",F109="Unsupported",F109="Contradicted"),OR(G109="Supported",G109="Wrong citation",G109="Missing citation"),OR(H109="Yes",H109="No"),I109&lt;&gt;"",OR(F109&lt;&gt;"Supported",E109&lt;&gt;""),OR(G109&lt;&gt;"Supported",AND(F109="Supported",D109&lt;&gt;"",E109&lt;&gt;""))),"Yes","No"))</f>
        <v/>
      </c>
    </row>
    <row r="110" spans="11:11">
      <c r="K110" s="11">
        <f>IF(OR(A110="",C110=""),"",IF(AND(COUNTIF(Responses!$A$6:$A$205,A110)=1,B110&lt;&gt;"",COUNTIFS($A$6:$A$2005,A110,$B$6:$B$2005,B110)=1,OR(F110="Supported",F110="Unsupported",F110="Contradicted"),OR(G110="Supported",G110="Wrong citation",G110="Missing citation"),OR(H110="Yes",H110="No"),I110&lt;&gt;"",OR(F110&lt;&gt;"Supported",E110&lt;&gt;""),OR(G110&lt;&gt;"Supported",AND(F110="Supported",D110&lt;&gt;"",E110&lt;&gt;""))),"Yes","No"))</f>
        <v/>
      </c>
    </row>
    <row r="111" spans="11:11">
      <c r="K111" s="11">
        <f>IF(OR(A111="",C111=""),"",IF(AND(COUNTIF(Responses!$A$6:$A$205,A111)=1,B111&lt;&gt;"",COUNTIFS($A$6:$A$2005,A111,$B$6:$B$2005,B111)=1,OR(F111="Supported",F111="Unsupported",F111="Contradicted"),OR(G111="Supported",G111="Wrong citation",G111="Missing citation"),OR(H111="Yes",H111="No"),I111&lt;&gt;"",OR(F111&lt;&gt;"Supported",E111&lt;&gt;""),OR(G111&lt;&gt;"Supported",AND(F111="Supported",D111&lt;&gt;"",E111&lt;&gt;""))),"Yes","No"))</f>
        <v/>
      </c>
    </row>
    <row r="112" spans="11:11">
      <c r="K112" s="11">
        <f>IF(OR(A112="",C112=""),"",IF(AND(COUNTIF(Responses!$A$6:$A$205,A112)=1,B112&lt;&gt;"",COUNTIFS($A$6:$A$2005,A112,$B$6:$B$2005,B112)=1,OR(F112="Supported",F112="Unsupported",F112="Contradicted"),OR(G112="Supported",G112="Wrong citation",G112="Missing citation"),OR(H112="Yes",H112="No"),I112&lt;&gt;"",OR(F112&lt;&gt;"Supported",E112&lt;&gt;""),OR(G112&lt;&gt;"Supported",AND(F112="Supported",D112&lt;&gt;"",E112&lt;&gt;""))),"Yes","No"))</f>
        <v/>
      </c>
    </row>
    <row r="113" spans="11:11">
      <c r="K113" s="11">
        <f>IF(OR(A113="",C113=""),"",IF(AND(COUNTIF(Responses!$A$6:$A$205,A113)=1,B113&lt;&gt;"",COUNTIFS($A$6:$A$2005,A113,$B$6:$B$2005,B113)=1,OR(F113="Supported",F113="Unsupported",F113="Contradicted"),OR(G113="Supported",G113="Wrong citation",G113="Missing citation"),OR(H113="Yes",H113="No"),I113&lt;&gt;"",OR(F113&lt;&gt;"Supported",E113&lt;&gt;""),OR(G113&lt;&gt;"Supported",AND(F113="Supported",D113&lt;&gt;"",E113&lt;&gt;""))),"Yes","No"))</f>
        <v/>
      </c>
    </row>
    <row r="114" spans="11:11">
      <c r="K114" s="11">
        <f>IF(OR(A114="",C114=""),"",IF(AND(COUNTIF(Responses!$A$6:$A$205,A114)=1,B114&lt;&gt;"",COUNTIFS($A$6:$A$2005,A114,$B$6:$B$2005,B114)=1,OR(F114="Supported",F114="Unsupported",F114="Contradicted"),OR(G114="Supported",G114="Wrong citation",G114="Missing citation"),OR(H114="Yes",H114="No"),I114&lt;&gt;"",OR(F114&lt;&gt;"Supported",E114&lt;&gt;""),OR(G114&lt;&gt;"Supported",AND(F114="Supported",D114&lt;&gt;"",E114&lt;&gt;""))),"Yes","No"))</f>
        <v/>
      </c>
    </row>
    <row r="115" spans="11:11">
      <c r="K115" s="11">
        <f>IF(OR(A115="",C115=""),"",IF(AND(COUNTIF(Responses!$A$6:$A$205,A115)=1,B115&lt;&gt;"",COUNTIFS($A$6:$A$2005,A115,$B$6:$B$2005,B115)=1,OR(F115="Supported",F115="Unsupported",F115="Contradicted"),OR(G115="Supported",G115="Wrong citation",G115="Missing citation"),OR(H115="Yes",H115="No"),I115&lt;&gt;"",OR(F115&lt;&gt;"Supported",E115&lt;&gt;""),OR(G115&lt;&gt;"Supported",AND(F115="Supported",D115&lt;&gt;"",E115&lt;&gt;""))),"Yes","No"))</f>
        <v/>
      </c>
    </row>
    <row r="116" spans="11:11">
      <c r="K116" s="11">
        <f>IF(OR(A116="",C116=""),"",IF(AND(COUNTIF(Responses!$A$6:$A$205,A116)=1,B116&lt;&gt;"",COUNTIFS($A$6:$A$2005,A116,$B$6:$B$2005,B116)=1,OR(F116="Supported",F116="Unsupported",F116="Contradicted"),OR(G116="Supported",G116="Wrong citation",G116="Missing citation"),OR(H116="Yes",H116="No"),I116&lt;&gt;"",OR(F116&lt;&gt;"Supported",E116&lt;&gt;""),OR(G116&lt;&gt;"Supported",AND(F116="Supported",D116&lt;&gt;"",E116&lt;&gt;""))),"Yes","No"))</f>
        <v/>
      </c>
    </row>
    <row r="117" spans="11:11">
      <c r="K117" s="11">
        <f>IF(OR(A117="",C117=""),"",IF(AND(COUNTIF(Responses!$A$6:$A$205,A117)=1,B117&lt;&gt;"",COUNTIFS($A$6:$A$2005,A117,$B$6:$B$2005,B117)=1,OR(F117="Supported",F117="Unsupported",F117="Contradicted"),OR(G117="Supported",G117="Wrong citation",G117="Missing citation"),OR(H117="Yes",H117="No"),I117&lt;&gt;"",OR(F117&lt;&gt;"Supported",E117&lt;&gt;""),OR(G117&lt;&gt;"Supported",AND(F117="Supported",D117&lt;&gt;"",E117&lt;&gt;""))),"Yes","No"))</f>
        <v/>
      </c>
    </row>
    <row r="118" spans="11:11">
      <c r="K118" s="11">
        <f>IF(OR(A118="",C118=""),"",IF(AND(COUNTIF(Responses!$A$6:$A$205,A118)=1,B118&lt;&gt;"",COUNTIFS($A$6:$A$2005,A118,$B$6:$B$2005,B118)=1,OR(F118="Supported",F118="Unsupported",F118="Contradicted"),OR(G118="Supported",G118="Wrong citation",G118="Missing citation"),OR(H118="Yes",H118="No"),I118&lt;&gt;"",OR(F118&lt;&gt;"Supported",E118&lt;&gt;""),OR(G118&lt;&gt;"Supported",AND(F118="Supported",D118&lt;&gt;"",E118&lt;&gt;""))),"Yes","No"))</f>
        <v/>
      </c>
    </row>
    <row r="119" spans="11:11">
      <c r="K119" s="11">
        <f>IF(OR(A119="",C119=""),"",IF(AND(COUNTIF(Responses!$A$6:$A$205,A119)=1,B119&lt;&gt;"",COUNTIFS($A$6:$A$2005,A119,$B$6:$B$2005,B119)=1,OR(F119="Supported",F119="Unsupported",F119="Contradicted"),OR(G119="Supported",G119="Wrong citation",G119="Missing citation"),OR(H119="Yes",H119="No"),I119&lt;&gt;"",OR(F119&lt;&gt;"Supported",E119&lt;&gt;""),OR(G119&lt;&gt;"Supported",AND(F119="Supported",D119&lt;&gt;"",E119&lt;&gt;""))),"Yes","No"))</f>
        <v/>
      </c>
    </row>
    <row r="120" spans="11:11">
      <c r="K120" s="11">
        <f>IF(OR(A120="",C120=""),"",IF(AND(COUNTIF(Responses!$A$6:$A$205,A120)=1,B120&lt;&gt;"",COUNTIFS($A$6:$A$2005,A120,$B$6:$B$2005,B120)=1,OR(F120="Supported",F120="Unsupported",F120="Contradicted"),OR(G120="Supported",G120="Wrong citation",G120="Missing citation"),OR(H120="Yes",H120="No"),I120&lt;&gt;"",OR(F120&lt;&gt;"Supported",E120&lt;&gt;""),OR(G120&lt;&gt;"Supported",AND(F120="Supported",D120&lt;&gt;"",E120&lt;&gt;""))),"Yes","No"))</f>
        <v/>
      </c>
    </row>
    <row r="121" spans="11:11">
      <c r="K121" s="11">
        <f>IF(OR(A121="",C121=""),"",IF(AND(COUNTIF(Responses!$A$6:$A$205,A121)=1,B121&lt;&gt;"",COUNTIFS($A$6:$A$2005,A121,$B$6:$B$2005,B121)=1,OR(F121="Supported",F121="Unsupported",F121="Contradicted"),OR(G121="Supported",G121="Wrong citation",G121="Missing citation"),OR(H121="Yes",H121="No"),I121&lt;&gt;"",OR(F121&lt;&gt;"Supported",E121&lt;&gt;""),OR(G121&lt;&gt;"Supported",AND(F121="Supported",D121&lt;&gt;"",E121&lt;&gt;""))),"Yes","No"))</f>
        <v/>
      </c>
    </row>
    <row r="122" spans="11:11">
      <c r="K122" s="11">
        <f>IF(OR(A122="",C122=""),"",IF(AND(COUNTIF(Responses!$A$6:$A$205,A122)=1,B122&lt;&gt;"",COUNTIFS($A$6:$A$2005,A122,$B$6:$B$2005,B122)=1,OR(F122="Supported",F122="Unsupported",F122="Contradicted"),OR(G122="Supported",G122="Wrong citation",G122="Missing citation"),OR(H122="Yes",H122="No"),I122&lt;&gt;"",OR(F122&lt;&gt;"Supported",E122&lt;&gt;""),OR(G122&lt;&gt;"Supported",AND(F122="Supported",D122&lt;&gt;"",E122&lt;&gt;""))),"Yes","No"))</f>
        <v/>
      </c>
    </row>
    <row r="123" spans="11:11">
      <c r="K123" s="11">
        <f>IF(OR(A123="",C123=""),"",IF(AND(COUNTIF(Responses!$A$6:$A$205,A123)=1,B123&lt;&gt;"",COUNTIFS($A$6:$A$2005,A123,$B$6:$B$2005,B123)=1,OR(F123="Supported",F123="Unsupported",F123="Contradicted"),OR(G123="Supported",G123="Wrong citation",G123="Missing citation"),OR(H123="Yes",H123="No"),I123&lt;&gt;"",OR(F123&lt;&gt;"Supported",E123&lt;&gt;""),OR(G123&lt;&gt;"Supported",AND(F123="Supported",D123&lt;&gt;"",E123&lt;&gt;""))),"Yes","No"))</f>
        <v/>
      </c>
    </row>
    <row r="124" spans="11:11">
      <c r="K124" s="11">
        <f>IF(OR(A124="",C124=""),"",IF(AND(COUNTIF(Responses!$A$6:$A$205,A124)=1,B124&lt;&gt;"",COUNTIFS($A$6:$A$2005,A124,$B$6:$B$2005,B124)=1,OR(F124="Supported",F124="Unsupported",F124="Contradicted"),OR(G124="Supported",G124="Wrong citation",G124="Missing citation"),OR(H124="Yes",H124="No"),I124&lt;&gt;"",OR(F124&lt;&gt;"Supported",E124&lt;&gt;""),OR(G124&lt;&gt;"Supported",AND(F124="Supported",D124&lt;&gt;"",E124&lt;&gt;""))),"Yes","No"))</f>
        <v/>
      </c>
    </row>
    <row r="125" spans="11:11">
      <c r="K125" s="11">
        <f>IF(OR(A125="",C125=""),"",IF(AND(COUNTIF(Responses!$A$6:$A$205,A125)=1,B125&lt;&gt;"",COUNTIFS($A$6:$A$2005,A125,$B$6:$B$2005,B125)=1,OR(F125="Supported",F125="Unsupported",F125="Contradicted"),OR(G125="Supported",G125="Wrong citation",G125="Missing citation"),OR(H125="Yes",H125="No"),I125&lt;&gt;"",OR(F125&lt;&gt;"Supported",E125&lt;&gt;""),OR(G125&lt;&gt;"Supported",AND(F125="Supported",D125&lt;&gt;"",E125&lt;&gt;""))),"Yes","No"))</f>
        <v/>
      </c>
    </row>
    <row r="126" spans="11:11">
      <c r="K126" s="11">
        <f>IF(OR(A126="",C126=""),"",IF(AND(COUNTIF(Responses!$A$6:$A$205,A126)=1,B126&lt;&gt;"",COUNTIFS($A$6:$A$2005,A126,$B$6:$B$2005,B126)=1,OR(F126="Supported",F126="Unsupported",F126="Contradicted"),OR(G126="Supported",G126="Wrong citation",G126="Missing citation"),OR(H126="Yes",H126="No"),I126&lt;&gt;"",OR(F126&lt;&gt;"Supported",E126&lt;&gt;""),OR(G126&lt;&gt;"Supported",AND(F126="Supported",D126&lt;&gt;"",E126&lt;&gt;""))),"Yes","No"))</f>
        <v/>
      </c>
    </row>
    <row r="127" spans="11:11">
      <c r="K127" s="11">
        <f>IF(OR(A127="",C127=""),"",IF(AND(COUNTIF(Responses!$A$6:$A$205,A127)=1,B127&lt;&gt;"",COUNTIFS($A$6:$A$2005,A127,$B$6:$B$2005,B127)=1,OR(F127="Supported",F127="Unsupported",F127="Contradicted"),OR(G127="Supported",G127="Wrong citation",G127="Missing citation"),OR(H127="Yes",H127="No"),I127&lt;&gt;"",OR(F127&lt;&gt;"Supported",E127&lt;&gt;""),OR(G127&lt;&gt;"Supported",AND(F127="Supported",D127&lt;&gt;"",E127&lt;&gt;""))),"Yes","No"))</f>
        <v/>
      </c>
    </row>
    <row r="128" spans="11:11">
      <c r="K128" s="11">
        <f>IF(OR(A128="",C128=""),"",IF(AND(COUNTIF(Responses!$A$6:$A$205,A128)=1,B128&lt;&gt;"",COUNTIFS($A$6:$A$2005,A128,$B$6:$B$2005,B128)=1,OR(F128="Supported",F128="Unsupported",F128="Contradicted"),OR(G128="Supported",G128="Wrong citation",G128="Missing citation"),OR(H128="Yes",H128="No"),I128&lt;&gt;"",OR(F128&lt;&gt;"Supported",E128&lt;&gt;""),OR(G128&lt;&gt;"Supported",AND(F128="Supported",D128&lt;&gt;"",E128&lt;&gt;""))),"Yes","No"))</f>
        <v/>
      </c>
    </row>
    <row r="129" spans="11:11">
      <c r="K129" s="11">
        <f>IF(OR(A129="",C129=""),"",IF(AND(COUNTIF(Responses!$A$6:$A$205,A129)=1,B129&lt;&gt;"",COUNTIFS($A$6:$A$2005,A129,$B$6:$B$2005,B129)=1,OR(F129="Supported",F129="Unsupported",F129="Contradicted"),OR(G129="Supported",G129="Wrong citation",G129="Missing citation"),OR(H129="Yes",H129="No"),I129&lt;&gt;"",OR(F129&lt;&gt;"Supported",E129&lt;&gt;""),OR(G129&lt;&gt;"Supported",AND(F129="Supported",D129&lt;&gt;"",E129&lt;&gt;""))),"Yes","No"))</f>
        <v/>
      </c>
    </row>
    <row r="130" spans="11:11">
      <c r="K130" s="11">
        <f>IF(OR(A130="",C130=""),"",IF(AND(COUNTIF(Responses!$A$6:$A$205,A130)=1,B130&lt;&gt;"",COUNTIFS($A$6:$A$2005,A130,$B$6:$B$2005,B130)=1,OR(F130="Supported",F130="Unsupported",F130="Contradicted"),OR(G130="Supported",G130="Wrong citation",G130="Missing citation"),OR(H130="Yes",H130="No"),I130&lt;&gt;"",OR(F130&lt;&gt;"Supported",E130&lt;&gt;""),OR(G130&lt;&gt;"Supported",AND(F130="Supported",D130&lt;&gt;"",E130&lt;&gt;""))),"Yes","No"))</f>
        <v/>
      </c>
    </row>
    <row r="131" spans="11:11">
      <c r="K131" s="11">
        <f>IF(OR(A131="",C131=""),"",IF(AND(COUNTIF(Responses!$A$6:$A$205,A131)=1,B131&lt;&gt;"",COUNTIFS($A$6:$A$2005,A131,$B$6:$B$2005,B131)=1,OR(F131="Supported",F131="Unsupported",F131="Contradicted"),OR(G131="Supported",G131="Wrong citation",G131="Missing citation"),OR(H131="Yes",H131="No"),I131&lt;&gt;"",OR(F131&lt;&gt;"Supported",E131&lt;&gt;""),OR(G131&lt;&gt;"Supported",AND(F131="Supported",D131&lt;&gt;"",E131&lt;&gt;""))),"Yes","No"))</f>
        <v/>
      </c>
    </row>
    <row r="132" spans="11:11">
      <c r="K132" s="11">
        <f>IF(OR(A132="",C132=""),"",IF(AND(COUNTIF(Responses!$A$6:$A$205,A132)=1,B132&lt;&gt;"",COUNTIFS($A$6:$A$2005,A132,$B$6:$B$2005,B132)=1,OR(F132="Supported",F132="Unsupported",F132="Contradicted"),OR(G132="Supported",G132="Wrong citation",G132="Missing citation"),OR(H132="Yes",H132="No"),I132&lt;&gt;"",OR(F132&lt;&gt;"Supported",E132&lt;&gt;""),OR(G132&lt;&gt;"Supported",AND(F132="Supported",D132&lt;&gt;"",E132&lt;&gt;""))),"Yes","No"))</f>
        <v/>
      </c>
    </row>
    <row r="133" spans="11:11">
      <c r="K133" s="11">
        <f>IF(OR(A133="",C133=""),"",IF(AND(COUNTIF(Responses!$A$6:$A$205,A133)=1,B133&lt;&gt;"",COUNTIFS($A$6:$A$2005,A133,$B$6:$B$2005,B133)=1,OR(F133="Supported",F133="Unsupported",F133="Contradicted"),OR(G133="Supported",G133="Wrong citation",G133="Missing citation"),OR(H133="Yes",H133="No"),I133&lt;&gt;"",OR(F133&lt;&gt;"Supported",E133&lt;&gt;""),OR(G133&lt;&gt;"Supported",AND(F133="Supported",D133&lt;&gt;"",E133&lt;&gt;""))),"Yes","No"))</f>
        <v/>
      </c>
    </row>
    <row r="134" spans="11:11">
      <c r="K134" s="11">
        <f>IF(OR(A134="",C134=""),"",IF(AND(COUNTIF(Responses!$A$6:$A$205,A134)=1,B134&lt;&gt;"",COUNTIFS($A$6:$A$2005,A134,$B$6:$B$2005,B134)=1,OR(F134="Supported",F134="Unsupported",F134="Contradicted"),OR(G134="Supported",G134="Wrong citation",G134="Missing citation"),OR(H134="Yes",H134="No"),I134&lt;&gt;"",OR(F134&lt;&gt;"Supported",E134&lt;&gt;""),OR(G134&lt;&gt;"Supported",AND(F134="Supported",D134&lt;&gt;"",E134&lt;&gt;""))),"Yes","No"))</f>
        <v/>
      </c>
    </row>
    <row r="135" spans="11:11">
      <c r="K135" s="11">
        <f>IF(OR(A135="",C135=""),"",IF(AND(COUNTIF(Responses!$A$6:$A$205,A135)=1,B135&lt;&gt;"",COUNTIFS($A$6:$A$2005,A135,$B$6:$B$2005,B135)=1,OR(F135="Supported",F135="Unsupported",F135="Contradicted"),OR(G135="Supported",G135="Wrong citation",G135="Missing citation"),OR(H135="Yes",H135="No"),I135&lt;&gt;"",OR(F135&lt;&gt;"Supported",E135&lt;&gt;""),OR(G135&lt;&gt;"Supported",AND(F135="Supported",D135&lt;&gt;"",E135&lt;&gt;""))),"Yes","No"))</f>
        <v/>
      </c>
    </row>
    <row r="136" spans="11:11">
      <c r="K136" s="11">
        <f>IF(OR(A136="",C136=""),"",IF(AND(COUNTIF(Responses!$A$6:$A$205,A136)=1,B136&lt;&gt;"",COUNTIFS($A$6:$A$2005,A136,$B$6:$B$2005,B136)=1,OR(F136="Supported",F136="Unsupported",F136="Contradicted"),OR(G136="Supported",G136="Wrong citation",G136="Missing citation"),OR(H136="Yes",H136="No"),I136&lt;&gt;"",OR(F136&lt;&gt;"Supported",E136&lt;&gt;""),OR(G136&lt;&gt;"Supported",AND(F136="Supported",D136&lt;&gt;"",E136&lt;&gt;""))),"Yes","No"))</f>
        <v/>
      </c>
    </row>
    <row r="137" spans="11:11">
      <c r="K137" s="11">
        <f>IF(OR(A137="",C137=""),"",IF(AND(COUNTIF(Responses!$A$6:$A$205,A137)=1,B137&lt;&gt;"",COUNTIFS($A$6:$A$2005,A137,$B$6:$B$2005,B137)=1,OR(F137="Supported",F137="Unsupported",F137="Contradicted"),OR(G137="Supported",G137="Wrong citation",G137="Missing citation"),OR(H137="Yes",H137="No"),I137&lt;&gt;"",OR(F137&lt;&gt;"Supported",E137&lt;&gt;""),OR(G137&lt;&gt;"Supported",AND(F137="Supported",D137&lt;&gt;"",E137&lt;&gt;""))),"Yes","No"))</f>
        <v/>
      </c>
    </row>
    <row r="138" spans="11:11">
      <c r="K138" s="11">
        <f>IF(OR(A138="",C138=""),"",IF(AND(COUNTIF(Responses!$A$6:$A$205,A138)=1,B138&lt;&gt;"",COUNTIFS($A$6:$A$2005,A138,$B$6:$B$2005,B138)=1,OR(F138="Supported",F138="Unsupported",F138="Contradicted"),OR(G138="Supported",G138="Wrong citation",G138="Missing citation"),OR(H138="Yes",H138="No"),I138&lt;&gt;"",OR(F138&lt;&gt;"Supported",E138&lt;&gt;""),OR(G138&lt;&gt;"Supported",AND(F138="Supported",D138&lt;&gt;"",E138&lt;&gt;""))),"Yes","No"))</f>
        <v/>
      </c>
    </row>
    <row r="139" spans="11:11">
      <c r="K139" s="11">
        <f>IF(OR(A139="",C139=""),"",IF(AND(COUNTIF(Responses!$A$6:$A$205,A139)=1,B139&lt;&gt;"",COUNTIFS($A$6:$A$2005,A139,$B$6:$B$2005,B139)=1,OR(F139="Supported",F139="Unsupported",F139="Contradicted"),OR(G139="Supported",G139="Wrong citation",G139="Missing citation"),OR(H139="Yes",H139="No"),I139&lt;&gt;"",OR(F139&lt;&gt;"Supported",E139&lt;&gt;""),OR(G139&lt;&gt;"Supported",AND(F139="Supported",D139&lt;&gt;"",E139&lt;&gt;""))),"Yes","No"))</f>
        <v/>
      </c>
    </row>
    <row r="140" spans="11:11">
      <c r="K140" s="11">
        <f>IF(OR(A140="",C140=""),"",IF(AND(COUNTIF(Responses!$A$6:$A$205,A140)=1,B140&lt;&gt;"",COUNTIFS($A$6:$A$2005,A140,$B$6:$B$2005,B140)=1,OR(F140="Supported",F140="Unsupported",F140="Contradicted"),OR(G140="Supported",G140="Wrong citation",G140="Missing citation"),OR(H140="Yes",H140="No"),I140&lt;&gt;"",OR(F140&lt;&gt;"Supported",E140&lt;&gt;""),OR(G140&lt;&gt;"Supported",AND(F140="Supported",D140&lt;&gt;"",E140&lt;&gt;""))),"Yes","No"))</f>
        <v/>
      </c>
    </row>
    <row r="141" spans="11:11">
      <c r="K141" s="11">
        <f>IF(OR(A141="",C141=""),"",IF(AND(COUNTIF(Responses!$A$6:$A$205,A141)=1,B141&lt;&gt;"",COUNTIFS($A$6:$A$2005,A141,$B$6:$B$2005,B141)=1,OR(F141="Supported",F141="Unsupported",F141="Contradicted"),OR(G141="Supported",G141="Wrong citation",G141="Missing citation"),OR(H141="Yes",H141="No"),I141&lt;&gt;"",OR(F141&lt;&gt;"Supported",E141&lt;&gt;""),OR(G141&lt;&gt;"Supported",AND(F141="Supported",D141&lt;&gt;"",E141&lt;&gt;""))),"Yes","No"))</f>
        <v/>
      </c>
    </row>
    <row r="142" spans="11:11">
      <c r="K142" s="11">
        <f>IF(OR(A142="",C142=""),"",IF(AND(COUNTIF(Responses!$A$6:$A$205,A142)=1,B142&lt;&gt;"",COUNTIFS($A$6:$A$2005,A142,$B$6:$B$2005,B142)=1,OR(F142="Supported",F142="Unsupported",F142="Contradicted"),OR(G142="Supported",G142="Wrong citation",G142="Missing citation"),OR(H142="Yes",H142="No"),I142&lt;&gt;"",OR(F142&lt;&gt;"Supported",E142&lt;&gt;""),OR(G142&lt;&gt;"Supported",AND(F142="Supported",D142&lt;&gt;"",E142&lt;&gt;""))),"Yes","No"))</f>
        <v/>
      </c>
    </row>
    <row r="143" spans="11:11">
      <c r="K143" s="11">
        <f>IF(OR(A143="",C143=""),"",IF(AND(COUNTIF(Responses!$A$6:$A$205,A143)=1,B143&lt;&gt;"",COUNTIFS($A$6:$A$2005,A143,$B$6:$B$2005,B143)=1,OR(F143="Supported",F143="Unsupported",F143="Contradicted"),OR(G143="Supported",G143="Wrong citation",G143="Missing citation"),OR(H143="Yes",H143="No"),I143&lt;&gt;"",OR(F143&lt;&gt;"Supported",E143&lt;&gt;""),OR(G143&lt;&gt;"Supported",AND(F143="Supported",D143&lt;&gt;"",E143&lt;&gt;""))),"Yes","No"))</f>
        <v/>
      </c>
    </row>
    <row r="144" spans="11:11">
      <c r="K144" s="11">
        <f>IF(OR(A144="",C144=""),"",IF(AND(COUNTIF(Responses!$A$6:$A$205,A144)=1,B144&lt;&gt;"",COUNTIFS($A$6:$A$2005,A144,$B$6:$B$2005,B144)=1,OR(F144="Supported",F144="Unsupported",F144="Contradicted"),OR(G144="Supported",G144="Wrong citation",G144="Missing citation"),OR(H144="Yes",H144="No"),I144&lt;&gt;"",OR(F144&lt;&gt;"Supported",E144&lt;&gt;""),OR(G144&lt;&gt;"Supported",AND(F144="Supported",D144&lt;&gt;"",E144&lt;&gt;""))),"Yes","No"))</f>
        <v/>
      </c>
    </row>
    <row r="145" spans="11:11">
      <c r="K145" s="11">
        <f>IF(OR(A145="",C145=""),"",IF(AND(COUNTIF(Responses!$A$6:$A$205,A145)=1,B145&lt;&gt;"",COUNTIFS($A$6:$A$2005,A145,$B$6:$B$2005,B145)=1,OR(F145="Supported",F145="Unsupported",F145="Contradicted"),OR(G145="Supported",G145="Wrong citation",G145="Missing citation"),OR(H145="Yes",H145="No"),I145&lt;&gt;"",OR(F145&lt;&gt;"Supported",E145&lt;&gt;""),OR(G145&lt;&gt;"Supported",AND(F145="Supported",D145&lt;&gt;"",E145&lt;&gt;""))),"Yes","No"))</f>
        <v/>
      </c>
    </row>
    <row r="146" spans="11:11">
      <c r="K146" s="11">
        <f>IF(OR(A146="",C146=""),"",IF(AND(COUNTIF(Responses!$A$6:$A$205,A146)=1,B146&lt;&gt;"",COUNTIFS($A$6:$A$2005,A146,$B$6:$B$2005,B146)=1,OR(F146="Supported",F146="Unsupported",F146="Contradicted"),OR(G146="Supported",G146="Wrong citation",G146="Missing citation"),OR(H146="Yes",H146="No"),I146&lt;&gt;"",OR(F146&lt;&gt;"Supported",E146&lt;&gt;""),OR(G146&lt;&gt;"Supported",AND(F146="Supported",D146&lt;&gt;"",E146&lt;&gt;""))),"Yes","No"))</f>
        <v/>
      </c>
    </row>
    <row r="147" spans="11:11">
      <c r="K147" s="11">
        <f>IF(OR(A147="",C147=""),"",IF(AND(COUNTIF(Responses!$A$6:$A$205,A147)=1,B147&lt;&gt;"",COUNTIFS($A$6:$A$2005,A147,$B$6:$B$2005,B147)=1,OR(F147="Supported",F147="Unsupported",F147="Contradicted"),OR(G147="Supported",G147="Wrong citation",G147="Missing citation"),OR(H147="Yes",H147="No"),I147&lt;&gt;"",OR(F147&lt;&gt;"Supported",E147&lt;&gt;""),OR(G147&lt;&gt;"Supported",AND(F147="Supported",D147&lt;&gt;"",E147&lt;&gt;""))),"Yes","No"))</f>
        <v/>
      </c>
    </row>
    <row r="148" spans="11:11">
      <c r="K148" s="11">
        <f>IF(OR(A148="",C148=""),"",IF(AND(COUNTIF(Responses!$A$6:$A$205,A148)=1,B148&lt;&gt;"",COUNTIFS($A$6:$A$2005,A148,$B$6:$B$2005,B148)=1,OR(F148="Supported",F148="Unsupported",F148="Contradicted"),OR(G148="Supported",G148="Wrong citation",G148="Missing citation"),OR(H148="Yes",H148="No"),I148&lt;&gt;"",OR(F148&lt;&gt;"Supported",E148&lt;&gt;""),OR(G148&lt;&gt;"Supported",AND(F148="Supported",D148&lt;&gt;"",E148&lt;&gt;""))),"Yes","No"))</f>
        <v/>
      </c>
    </row>
    <row r="149" spans="11:11">
      <c r="K149" s="11">
        <f>IF(OR(A149="",C149=""),"",IF(AND(COUNTIF(Responses!$A$6:$A$205,A149)=1,B149&lt;&gt;"",COUNTIFS($A$6:$A$2005,A149,$B$6:$B$2005,B149)=1,OR(F149="Supported",F149="Unsupported",F149="Contradicted"),OR(G149="Supported",G149="Wrong citation",G149="Missing citation"),OR(H149="Yes",H149="No"),I149&lt;&gt;"",OR(F149&lt;&gt;"Supported",E149&lt;&gt;""),OR(G149&lt;&gt;"Supported",AND(F149="Supported",D149&lt;&gt;"",E149&lt;&gt;""))),"Yes","No"))</f>
        <v/>
      </c>
    </row>
    <row r="150" spans="11:11">
      <c r="K150" s="11">
        <f>IF(OR(A150="",C150=""),"",IF(AND(COUNTIF(Responses!$A$6:$A$205,A150)=1,B150&lt;&gt;"",COUNTIFS($A$6:$A$2005,A150,$B$6:$B$2005,B150)=1,OR(F150="Supported",F150="Unsupported",F150="Contradicted"),OR(G150="Supported",G150="Wrong citation",G150="Missing citation"),OR(H150="Yes",H150="No"),I150&lt;&gt;"",OR(F150&lt;&gt;"Supported",E150&lt;&gt;""),OR(G150&lt;&gt;"Supported",AND(F150="Supported",D150&lt;&gt;"",E150&lt;&gt;""))),"Yes","No"))</f>
        <v/>
      </c>
    </row>
    <row r="151" spans="11:11">
      <c r="K151" s="11">
        <f>IF(OR(A151="",C151=""),"",IF(AND(COUNTIF(Responses!$A$6:$A$205,A151)=1,B151&lt;&gt;"",COUNTIFS($A$6:$A$2005,A151,$B$6:$B$2005,B151)=1,OR(F151="Supported",F151="Unsupported",F151="Contradicted"),OR(G151="Supported",G151="Wrong citation",G151="Missing citation"),OR(H151="Yes",H151="No"),I151&lt;&gt;"",OR(F151&lt;&gt;"Supported",E151&lt;&gt;""),OR(G151&lt;&gt;"Supported",AND(F151="Supported",D151&lt;&gt;"",E151&lt;&gt;""))),"Yes","No"))</f>
        <v/>
      </c>
    </row>
    <row r="152" spans="11:11">
      <c r="K152" s="11">
        <f>IF(OR(A152="",C152=""),"",IF(AND(COUNTIF(Responses!$A$6:$A$205,A152)=1,B152&lt;&gt;"",COUNTIFS($A$6:$A$2005,A152,$B$6:$B$2005,B152)=1,OR(F152="Supported",F152="Unsupported",F152="Contradicted"),OR(G152="Supported",G152="Wrong citation",G152="Missing citation"),OR(H152="Yes",H152="No"),I152&lt;&gt;"",OR(F152&lt;&gt;"Supported",E152&lt;&gt;""),OR(G152&lt;&gt;"Supported",AND(F152="Supported",D152&lt;&gt;"",E152&lt;&gt;""))),"Yes","No"))</f>
        <v/>
      </c>
    </row>
    <row r="153" spans="11:11">
      <c r="K153" s="11">
        <f>IF(OR(A153="",C153=""),"",IF(AND(COUNTIF(Responses!$A$6:$A$205,A153)=1,B153&lt;&gt;"",COUNTIFS($A$6:$A$2005,A153,$B$6:$B$2005,B153)=1,OR(F153="Supported",F153="Unsupported",F153="Contradicted"),OR(G153="Supported",G153="Wrong citation",G153="Missing citation"),OR(H153="Yes",H153="No"),I153&lt;&gt;"",OR(F153&lt;&gt;"Supported",E153&lt;&gt;""),OR(G153&lt;&gt;"Supported",AND(F153="Supported",D153&lt;&gt;"",E153&lt;&gt;""))),"Yes","No"))</f>
        <v/>
      </c>
    </row>
    <row r="154" spans="11:11">
      <c r="K154" s="11">
        <f>IF(OR(A154="",C154=""),"",IF(AND(COUNTIF(Responses!$A$6:$A$205,A154)=1,B154&lt;&gt;"",COUNTIFS($A$6:$A$2005,A154,$B$6:$B$2005,B154)=1,OR(F154="Supported",F154="Unsupported",F154="Contradicted"),OR(G154="Supported",G154="Wrong citation",G154="Missing citation"),OR(H154="Yes",H154="No"),I154&lt;&gt;"",OR(F154&lt;&gt;"Supported",E154&lt;&gt;""),OR(G154&lt;&gt;"Supported",AND(F154="Supported",D154&lt;&gt;"",E154&lt;&gt;""))),"Yes","No"))</f>
        <v/>
      </c>
    </row>
    <row r="155" spans="11:11">
      <c r="K155" s="11">
        <f>IF(OR(A155="",C155=""),"",IF(AND(COUNTIF(Responses!$A$6:$A$205,A155)=1,B155&lt;&gt;"",COUNTIFS($A$6:$A$2005,A155,$B$6:$B$2005,B155)=1,OR(F155="Supported",F155="Unsupported",F155="Contradicted"),OR(G155="Supported",G155="Wrong citation",G155="Missing citation"),OR(H155="Yes",H155="No"),I155&lt;&gt;"",OR(F155&lt;&gt;"Supported",E155&lt;&gt;""),OR(G155&lt;&gt;"Supported",AND(F155="Supported",D155&lt;&gt;"",E155&lt;&gt;""))),"Yes","No"))</f>
        <v/>
      </c>
    </row>
    <row r="156" spans="11:11">
      <c r="K156" s="11">
        <f>IF(OR(A156="",C156=""),"",IF(AND(COUNTIF(Responses!$A$6:$A$205,A156)=1,B156&lt;&gt;"",COUNTIFS($A$6:$A$2005,A156,$B$6:$B$2005,B156)=1,OR(F156="Supported",F156="Unsupported",F156="Contradicted"),OR(G156="Supported",G156="Wrong citation",G156="Missing citation"),OR(H156="Yes",H156="No"),I156&lt;&gt;"",OR(F156&lt;&gt;"Supported",E156&lt;&gt;""),OR(G156&lt;&gt;"Supported",AND(F156="Supported",D156&lt;&gt;"",E156&lt;&gt;""))),"Yes","No"))</f>
        <v/>
      </c>
    </row>
    <row r="157" spans="11:11">
      <c r="K157" s="11">
        <f>IF(OR(A157="",C157=""),"",IF(AND(COUNTIF(Responses!$A$6:$A$205,A157)=1,B157&lt;&gt;"",COUNTIFS($A$6:$A$2005,A157,$B$6:$B$2005,B157)=1,OR(F157="Supported",F157="Unsupported",F157="Contradicted"),OR(G157="Supported",G157="Wrong citation",G157="Missing citation"),OR(H157="Yes",H157="No"),I157&lt;&gt;"",OR(F157&lt;&gt;"Supported",E157&lt;&gt;""),OR(G157&lt;&gt;"Supported",AND(F157="Supported",D157&lt;&gt;"",E157&lt;&gt;""))),"Yes","No"))</f>
        <v/>
      </c>
    </row>
    <row r="158" spans="11:11">
      <c r="K158" s="11">
        <f>IF(OR(A158="",C158=""),"",IF(AND(COUNTIF(Responses!$A$6:$A$205,A158)=1,B158&lt;&gt;"",COUNTIFS($A$6:$A$2005,A158,$B$6:$B$2005,B158)=1,OR(F158="Supported",F158="Unsupported",F158="Contradicted"),OR(G158="Supported",G158="Wrong citation",G158="Missing citation"),OR(H158="Yes",H158="No"),I158&lt;&gt;"",OR(F158&lt;&gt;"Supported",E158&lt;&gt;""),OR(G158&lt;&gt;"Supported",AND(F158="Supported",D158&lt;&gt;"",E158&lt;&gt;""))),"Yes","No"))</f>
        <v/>
      </c>
    </row>
    <row r="159" spans="11:11">
      <c r="K159" s="11">
        <f>IF(OR(A159="",C159=""),"",IF(AND(COUNTIF(Responses!$A$6:$A$205,A159)=1,B159&lt;&gt;"",COUNTIFS($A$6:$A$2005,A159,$B$6:$B$2005,B159)=1,OR(F159="Supported",F159="Unsupported",F159="Contradicted"),OR(G159="Supported",G159="Wrong citation",G159="Missing citation"),OR(H159="Yes",H159="No"),I159&lt;&gt;"",OR(F159&lt;&gt;"Supported",E159&lt;&gt;""),OR(G159&lt;&gt;"Supported",AND(F159="Supported",D159&lt;&gt;"",E159&lt;&gt;""))),"Yes","No"))</f>
        <v/>
      </c>
    </row>
    <row r="160" spans="11:11">
      <c r="K160" s="11">
        <f>IF(OR(A160="",C160=""),"",IF(AND(COUNTIF(Responses!$A$6:$A$205,A160)=1,B160&lt;&gt;"",COUNTIFS($A$6:$A$2005,A160,$B$6:$B$2005,B160)=1,OR(F160="Supported",F160="Unsupported",F160="Contradicted"),OR(G160="Supported",G160="Wrong citation",G160="Missing citation"),OR(H160="Yes",H160="No"),I160&lt;&gt;"",OR(F160&lt;&gt;"Supported",E160&lt;&gt;""),OR(G160&lt;&gt;"Supported",AND(F160="Supported",D160&lt;&gt;"",E160&lt;&gt;""))),"Yes","No"))</f>
        <v/>
      </c>
    </row>
    <row r="161" spans="11:11">
      <c r="K161" s="11">
        <f>IF(OR(A161="",C161=""),"",IF(AND(COUNTIF(Responses!$A$6:$A$205,A161)=1,B161&lt;&gt;"",COUNTIFS($A$6:$A$2005,A161,$B$6:$B$2005,B161)=1,OR(F161="Supported",F161="Unsupported",F161="Contradicted"),OR(G161="Supported",G161="Wrong citation",G161="Missing citation"),OR(H161="Yes",H161="No"),I161&lt;&gt;"",OR(F161&lt;&gt;"Supported",E161&lt;&gt;""),OR(G161&lt;&gt;"Supported",AND(F161="Supported",D161&lt;&gt;"",E161&lt;&gt;""))),"Yes","No"))</f>
        <v/>
      </c>
    </row>
    <row r="162" spans="11:11">
      <c r="K162" s="11">
        <f>IF(OR(A162="",C162=""),"",IF(AND(COUNTIF(Responses!$A$6:$A$205,A162)=1,B162&lt;&gt;"",COUNTIFS($A$6:$A$2005,A162,$B$6:$B$2005,B162)=1,OR(F162="Supported",F162="Unsupported",F162="Contradicted"),OR(G162="Supported",G162="Wrong citation",G162="Missing citation"),OR(H162="Yes",H162="No"),I162&lt;&gt;"",OR(F162&lt;&gt;"Supported",E162&lt;&gt;""),OR(G162&lt;&gt;"Supported",AND(F162="Supported",D162&lt;&gt;"",E162&lt;&gt;""))),"Yes","No"))</f>
        <v/>
      </c>
    </row>
    <row r="163" spans="11:11">
      <c r="K163" s="11">
        <f>IF(OR(A163="",C163=""),"",IF(AND(COUNTIF(Responses!$A$6:$A$205,A163)=1,B163&lt;&gt;"",COUNTIFS($A$6:$A$2005,A163,$B$6:$B$2005,B163)=1,OR(F163="Supported",F163="Unsupported",F163="Contradicted"),OR(G163="Supported",G163="Wrong citation",G163="Missing citation"),OR(H163="Yes",H163="No"),I163&lt;&gt;"",OR(F163&lt;&gt;"Supported",E163&lt;&gt;""),OR(G163&lt;&gt;"Supported",AND(F163="Supported",D163&lt;&gt;"",E163&lt;&gt;""))),"Yes","No"))</f>
        <v/>
      </c>
    </row>
    <row r="164" spans="11:11">
      <c r="K164" s="11">
        <f>IF(OR(A164="",C164=""),"",IF(AND(COUNTIF(Responses!$A$6:$A$205,A164)=1,B164&lt;&gt;"",COUNTIFS($A$6:$A$2005,A164,$B$6:$B$2005,B164)=1,OR(F164="Supported",F164="Unsupported",F164="Contradicted"),OR(G164="Supported",G164="Wrong citation",G164="Missing citation"),OR(H164="Yes",H164="No"),I164&lt;&gt;"",OR(F164&lt;&gt;"Supported",E164&lt;&gt;""),OR(G164&lt;&gt;"Supported",AND(F164="Supported",D164&lt;&gt;"",E164&lt;&gt;""))),"Yes","No"))</f>
        <v/>
      </c>
    </row>
    <row r="165" spans="11:11">
      <c r="K165" s="11">
        <f>IF(OR(A165="",C165=""),"",IF(AND(COUNTIF(Responses!$A$6:$A$205,A165)=1,B165&lt;&gt;"",COUNTIFS($A$6:$A$2005,A165,$B$6:$B$2005,B165)=1,OR(F165="Supported",F165="Unsupported",F165="Contradicted"),OR(G165="Supported",G165="Wrong citation",G165="Missing citation"),OR(H165="Yes",H165="No"),I165&lt;&gt;"",OR(F165&lt;&gt;"Supported",E165&lt;&gt;""),OR(G165&lt;&gt;"Supported",AND(F165="Supported",D165&lt;&gt;"",E165&lt;&gt;""))),"Yes","No"))</f>
        <v/>
      </c>
    </row>
    <row r="166" spans="11:11">
      <c r="K166" s="11">
        <f>IF(OR(A166="",C166=""),"",IF(AND(COUNTIF(Responses!$A$6:$A$205,A166)=1,B166&lt;&gt;"",COUNTIFS($A$6:$A$2005,A166,$B$6:$B$2005,B166)=1,OR(F166="Supported",F166="Unsupported",F166="Contradicted"),OR(G166="Supported",G166="Wrong citation",G166="Missing citation"),OR(H166="Yes",H166="No"),I166&lt;&gt;"",OR(F166&lt;&gt;"Supported",E166&lt;&gt;""),OR(G166&lt;&gt;"Supported",AND(F166="Supported",D166&lt;&gt;"",E166&lt;&gt;""))),"Yes","No"))</f>
        <v/>
      </c>
    </row>
    <row r="167" spans="11:11">
      <c r="K167" s="11">
        <f>IF(OR(A167="",C167=""),"",IF(AND(COUNTIF(Responses!$A$6:$A$205,A167)=1,B167&lt;&gt;"",COUNTIFS($A$6:$A$2005,A167,$B$6:$B$2005,B167)=1,OR(F167="Supported",F167="Unsupported",F167="Contradicted"),OR(G167="Supported",G167="Wrong citation",G167="Missing citation"),OR(H167="Yes",H167="No"),I167&lt;&gt;"",OR(F167&lt;&gt;"Supported",E167&lt;&gt;""),OR(G167&lt;&gt;"Supported",AND(F167="Supported",D167&lt;&gt;"",E167&lt;&gt;""))),"Yes","No"))</f>
        <v/>
      </c>
    </row>
    <row r="168" spans="11:11">
      <c r="K168" s="11">
        <f>IF(OR(A168="",C168=""),"",IF(AND(COUNTIF(Responses!$A$6:$A$205,A168)=1,B168&lt;&gt;"",COUNTIFS($A$6:$A$2005,A168,$B$6:$B$2005,B168)=1,OR(F168="Supported",F168="Unsupported",F168="Contradicted"),OR(G168="Supported",G168="Wrong citation",G168="Missing citation"),OR(H168="Yes",H168="No"),I168&lt;&gt;"",OR(F168&lt;&gt;"Supported",E168&lt;&gt;""),OR(G168&lt;&gt;"Supported",AND(F168="Supported",D168&lt;&gt;"",E168&lt;&gt;""))),"Yes","No"))</f>
        <v/>
      </c>
    </row>
    <row r="169" spans="11:11">
      <c r="K169" s="11">
        <f>IF(OR(A169="",C169=""),"",IF(AND(COUNTIF(Responses!$A$6:$A$205,A169)=1,B169&lt;&gt;"",COUNTIFS($A$6:$A$2005,A169,$B$6:$B$2005,B169)=1,OR(F169="Supported",F169="Unsupported",F169="Contradicted"),OR(G169="Supported",G169="Wrong citation",G169="Missing citation"),OR(H169="Yes",H169="No"),I169&lt;&gt;"",OR(F169&lt;&gt;"Supported",E169&lt;&gt;""),OR(G169&lt;&gt;"Supported",AND(F169="Supported",D169&lt;&gt;"",E169&lt;&gt;""))),"Yes","No"))</f>
        <v/>
      </c>
    </row>
    <row r="170" spans="11:11">
      <c r="K170" s="11">
        <f>IF(OR(A170="",C170=""),"",IF(AND(COUNTIF(Responses!$A$6:$A$205,A170)=1,B170&lt;&gt;"",COUNTIFS($A$6:$A$2005,A170,$B$6:$B$2005,B170)=1,OR(F170="Supported",F170="Unsupported",F170="Contradicted"),OR(G170="Supported",G170="Wrong citation",G170="Missing citation"),OR(H170="Yes",H170="No"),I170&lt;&gt;"",OR(F170&lt;&gt;"Supported",E170&lt;&gt;""),OR(G170&lt;&gt;"Supported",AND(F170="Supported",D170&lt;&gt;"",E170&lt;&gt;""))),"Yes","No"))</f>
        <v/>
      </c>
    </row>
    <row r="171" spans="11:11">
      <c r="K171" s="11">
        <f>IF(OR(A171="",C171=""),"",IF(AND(COUNTIF(Responses!$A$6:$A$205,A171)=1,B171&lt;&gt;"",COUNTIFS($A$6:$A$2005,A171,$B$6:$B$2005,B171)=1,OR(F171="Supported",F171="Unsupported",F171="Contradicted"),OR(G171="Supported",G171="Wrong citation",G171="Missing citation"),OR(H171="Yes",H171="No"),I171&lt;&gt;"",OR(F171&lt;&gt;"Supported",E171&lt;&gt;""),OR(G171&lt;&gt;"Supported",AND(F171="Supported",D171&lt;&gt;"",E171&lt;&gt;""))),"Yes","No"))</f>
        <v/>
      </c>
    </row>
    <row r="172" spans="11:11">
      <c r="K172" s="11">
        <f>IF(OR(A172="",C172=""),"",IF(AND(COUNTIF(Responses!$A$6:$A$205,A172)=1,B172&lt;&gt;"",COUNTIFS($A$6:$A$2005,A172,$B$6:$B$2005,B172)=1,OR(F172="Supported",F172="Unsupported",F172="Contradicted"),OR(G172="Supported",G172="Wrong citation",G172="Missing citation"),OR(H172="Yes",H172="No"),I172&lt;&gt;"",OR(F172&lt;&gt;"Supported",E172&lt;&gt;""),OR(G172&lt;&gt;"Supported",AND(F172="Supported",D172&lt;&gt;"",E172&lt;&gt;""))),"Yes","No"))</f>
        <v/>
      </c>
    </row>
    <row r="173" spans="11:11">
      <c r="K173" s="11">
        <f>IF(OR(A173="",C173=""),"",IF(AND(COUNTIF(Responses!$A$6:$A$205,A173)=1,B173&lt;&gt;"",COUNTIFS($A$6:$A$2005,A173,$B$6:$B$2005,B173)=1,OR(F173="Supported",F173="Unsupported",F173="Contradicted"),OR(G173="Supported",G173="Wrong citation",G173="Missing citation"),OR(H173="Yes",H173="No"),I173&lt;&gt;"",OR(F173&lt;&gt;"Supported",E173&lt;&gt;""),OR(G173&lt;&gt;"Supported",AND(F173="Supported",D173&lt;&gt;"",E173&lt;&gt;""))),"Yes","No"))</f>
        <v/>
      </c>
    </row>
    <row r="174" spans="11:11">
      <c r="K174" s="11">
        <f>IF(OR(A174="",C174=""),"",IF(AND(COUNTIF(Responses!$A$6:$A$205,A174)=1,B174&lt;&gt;"",COUNTIFS($A$6:$A$2005,A174,$B$6:$B$2005,B174)=1,OR(F174="Supported",F174="Unsupported",F174="Contradicted"),OR(G174="Supported",G174="Wrong citation",G174="Missing citation"),OR(H174="Yes",H174="No"),I174&lt;&gt;"",OR(F174&lt;&gt;"Supported",E174&lt;&gt;""),OR(G174&lt;&gt;"Supported",AND(F174="Supported",D174&lt;&gt;"",E174&lt;&gt;""))),"Yes","No"))</f>
        <v/>
      </c>
    </row>
    <row r="175" spans="11:11">
      <c r="K175" s="11">
        <f>IF(OR(A175="",C175=""),"",IF(AND(COUNTIF(Responses!$A$6:$A$205,A175)=1,B175&lt;&gt;"",COUNTIFS($A$6:$A$2005,A175,$B$6:$B$2005,B175)=1,OR(F175="Supported",F175="Unsupported",F175="Contradicted"),OR(G175="Supported",G175="Wrong citation",G175="Missing citation"),OR(H175="Yes",H175="No"),I175&lt;&gt;"",OR(F175&lt;&gt;"Supported",E175&lt;&gt;""),OR(G175&lt;&gt;"Supported",AND(F175="Supported",D175&lt;&gt;"",E175&lt;&gt;""))),"Yes","No"))</f>
        <v/>
      </c>
    </row>
    <row r="176" spans="11:11">
      <c r="K176" s="11">
        <f>IF(OR(A176="",C176=""),"",IF(AND(COUNTIF(Responses!$A$6:$A$205,A176)=1,B176&lt;&gt;"",COUNTIFS($A$6:$A$2005,A176,$B$6:$B$2005,B176)=1,OR(F176="Supported",F176="Unsupported",F176="Contradicted"),OR(G176="Supported",G176="Wrong citation",G176="Missing citation"),OR(H176="Yes",H176="No"),I176&lt;&gt;"",OR(F176&lt;&gt;"Supported",E176&lt;&gt;""),OR(G176&lt;&gt;"Supported",AND(F176="Supported",D176&lt;&gt;"",E176&lt;&gt;""))),"Yes","No"))</f>
        <v/>
      </c>
    </row>
    <row r="177" spans="11:11">
      <c r="K177" s="11">
        <f>IF(OR(A177="",C177=""),"",IF(AND(COUNTIF(Responses!$A$6:$A$205,A177)=1,B177&lt;&gt;"",COUNTIFS($A$6:$A$2005,A177,$B$6:$B$2005,B177)=1,OR(F177="Supported",F177="Unsupported",F177="Contradicted"),OR(G177="Supported",G177="Wrong citation",G177="Missing citation"),OR(H177="Yes",H177="No"),I177&lt;&gt;"",OR(F177&lt;&gt;"Supported",E177&lt;&gt;""),OR(G177&lt;&gt;"Supported",AND(F177="Supported",D177&lt;&gt;"",E177&lt;&gt;""))),"Yes","No"))</f>
        <v/>
      </c>
    </row>
    <row r="178" spans="11:11">
      <c r="K178" s="11">
        <f>IF(OR(A178="",C178=""),"",IF(AND(COUNTIF(Responses!$A$6:$A$205,A178)=1,B178&lt;&gt;"",COUNTIFS($A$6:$A$2005,A178,$B$6:$B$2005,B178)=1,OR(F178="Supported",F178="Unsupported",F178="Contradicted"),OR(G178="Supported",G178="Wrong citation",G178="Missing citation"),OR(H178="Yes",H178="No"),I178&lt;&gt;"",OR(F178&lt;&gt;"Supported",E178&lt;&gt;""),OR(G178&lt;&gt;"Supported",AND(F178="Supported",D178&lt;&gt;"",E178&lt;&gt;""))),"Yes","No"))</f>
        <v/>
      </c>
    </row>
    <row r="179" spans="11:11">
      <c r="K179" s="11">
        <f>IF(OR(A179="",C179=""),"",IF(AND(COUNTIF(Responses!$A$6:$A$205,A179)=1,B179&lt;&gt;"",COUNTIFS($A$6:$A$2005,A179,$B$6:$B$2005,B179)=1,OR(F179="Supported",F179="Unsupported",F179="Contradicted"),OR(G179="Supported",G179="Wrong citation",G179="Missing citation"),OR(H179="Yes",H179="No"),I179&lt;&gt;"",OR(F179&lt;&gt;"Supported",E179&lt;&gt;""),OR(G179&lt;&gt;"Supported",AND(F179="Supported",D179&lt;&gt;"",E179&lt;&gt;""))),"Yes","No"))</f>
        <v/>
      </c>
    </row>
    <row r="180" spans="11:11">
      <c r="K180" s="11">
        <f>IF(OR(A180="",C180=""),"",IF(AND(COUNTIF(Responses!$A$6:$A$205,A180)=1,B180&lt;&gt;"",COUNTIFS($A$6:$A$2005,A180,$B$6:$B$2005,B180)=1,OR(F180="Supported",F180="Unsupported",F180="Contradicted"),OR(G180="Supported",G180="Wrong citation",G180="Missing citation"),OR(H180="Yes",H180="No"),I180&lt;&gt;"",OR(F180&lt;&gt;"Supported",E180&lt;&gt;""),OR(G180&lt;&gt;"Supported",AND(F180="Supported",D180&lt;&gt;"",E180&lt;&gt;""))),"Yes","No"))</f>
        <v/>
      </c>
    </row>
    <row r="181" spans="11:11">
      <c r="K181" s="11">
        <f>IF(OR(A181="",C181=""),"",IF(AND(COUNTIF(Responses!$A$6:$A$205,A181)=1,B181&lt;&gt;"",COUNTIFS($A$6:$A$2005,A181,$B$6:$B$2005,B181)=1,OR(F181="Supported",F181="Unsupported",F181="Contradicted"),OR(G181="Supported",G181="Wrong citation",G181="Missing citation"),OR(H181="Yes",H181="No"),I181&lt;&gt;"",OR(F181&lt;&gt;"Supported",E181&lt;&gt;""),OR(G181&lt;&gt;"Supported",AND(F181="Supported",D181&lt;&gt;"",E181&lt;&gt;""))),"Yes","No"))</f>
        <v/>
      </c>
    </row>
    <row r="182" spans="11:11">
      <c r="K182" s="11">
        <f>IF(OR(A182="",C182=""),"",IF(AND(COUNTIF(Responses!$A$6:$A$205,A182)=1,B182&lt;&gt;"",COUNTIFS($A$6:$A$2005,A182,$B$6:$B$2005,B182)=1,OR(F182="Supported",F182="Unsupported",F182="Contradicted"),OR(G182="Supported",G182="Wrong citation",G182="Missing citation"),OR(H182="Yes",H182="No"),I182&lt;&gt;"",OR(F182&lt;&gt;"Supported",E182&lt;&gt;""),OR(G182&lt;&gt;"Supported",AND(F182="Supported",D182&lt;&gt;"",E182&lt;&gt;""))),"Yes","No"))</f>
        <v/>
      </c>
    </row>
    <row r="183" spans="11:11">
      <c r="K183" s="11">
        <f>IF(OR(A183="",C183=""),"",IF(AND(COUNTIF(Responses!$A$6:$A$205,A183)=1,B183&lt;&gt;"",COUNTIFS($A$6:$A$2005,A183,$B$6:$B$2005,B183)=1,OR(F183="Supported",F183="Unsupported",F183="Contradicted"),OR(G183="Supported",G183="Wrong citation",G183="Missing citation"),OR(H183="Yes",H183="No"),I183&lt;&gt;"",OR(F183&lt;&gt;"Supported",E183&lt;&gt;""),OR(G183&lt;&gt;"Supported",AND(F183="Supported",D183&lt;&gt;"",E183&lt;&gt;""))),"Yes","No"))</f>
        <v/>
      </c>
    </row>
    <row r="184" spans="11:11">
      <c r="K184" s="11">
        <f>IF(OR(A184="",C184=""),"",IF(AND(COUNTIF(Responses!$A$6:$A$205,A184)=1,B184&lt;&gt;"",COUNTIFS($A$6:$A$2005,A184,$B$6:$B$2005,B184)=1,OR(F184="Supported",F184="Unsupported",F184="Contradicted"),OR(G184="Supported",G184="Wrong citation",G184="Missing citation"),OR(H184="Yes",H184="No"),I184&lt;&gt;"",OR(F184&lt;&gt;"Supported",E184&lt;&gt;""),OR(G184&lt;&gt;"Supported",AND(F184="Supported",D184&lt;&gt;"",E184&lt;&gt;""))),"Yes","No"))</f>
        <v/>
      </c>
    </row>
    <row r="185" spans="11:11">
      <c r="K185" s="11">
        <f>IF(OR(A185="",C185=""),"",IF(AND(COUNTIF(Responses!$A$6:$A$205,A185)=1,B185&lt;&gt;"",COUNTIFS($A$6:$A$2005,A185,$B$6:$B$2005,B185)=1,OR(F185="Supported",F185="Unsupported",F185="Contradicted"),OR(G185="Supported",G185="Wrong citation",G185="Missing citation"),OR(H185="Yes",H185="No"),I185&lt;&gt;"",OR(F185&lt;&gt;"Supported",E185&lt;&gt;""),OR(G185&lt;&gt;"Supported",AND(F185="Supported",D185&lt;&gt;"",E185&lt;&gt;""))),"Yes","No"))</f>
        <v/>
      </c>
    </row>
    <row r="186" spans="11:11">
      <c r="K186" s="11">
        <f>IF(OR(A186="",C186=""),"",IF(AND(COUNTIF(Responses!$A$6:$A$205,A186)=1,B186&lt;&gt;"",COUNTIFS($A$6:$A$2005,A186,$B$6:$B$2005,B186)=1,OR(F186="Supported",F186="Unsupported",F186="Contradicted"),OR(G186="Supported",G186="Wrong citation",G186="Missing citation"),OR(H186="Yes",H186="No"),I186&lt;&gt;"",OR(F186&lt;&gt;"Supported",E186&lt;&gt;""),OR(G186&lt;&gt;"Supported",AND(F186="Supported",D186&lt;&gt;"",E186&lt;&gt;""))),"Yes","No"))</f>
        <v/>
      </c>
    </row>
    <row r="187" spans="11:11">
      <c r="K187" s="11">
        <f>IF(OR(A187="",C187=""),"",IF(AND(COUNTIF(Responses!$A$6:$A$205,A187)=1,B187&lt;&gt;"",COUNTIFS($A$6:$A$2005,A187,$B$6:$B$2005,B187)=1,OR(F187="Supported",F187="Unsupported",F187="Contradicted"),OR(G187="Supported",G187="Wrong citation",G187="Missing citation"),OR(H187="Yes",H187="No"),I187&lt;&gt;"",OR(F187&lt;&gt;"Supported",E187&lt;&gt;""),OR(G187&lt;&gt;"Supported",AND(F187="Supported",D187&lt;&gt;"",E187&lt;&gt;""))),"Yes","No"))</f>
        <v/>
      </c>
    </row>
    <row r="188" spans="11:11">
      <c r="K188" s="11">
        <f>IF(OR(A188="",C188=""),"",IF(AND(COUNTIF(Responses!$A$6:$A$205,A188)=1,B188&lt;&gt;"",COUNTIFS($A$6:$A$2005,A188,$B$6:$B$2005,B188)=1,OR(F188="Supported",F188="Unsupported",F188="Contradicted"),OR(G188="Supported",G188="Wrong citation",G188="Missing citation"),OR(H188="Yes",H188="No"),I188&lt;&gt;"",OR(F188&lt;&gt;"Supported",E188&lt;&gt;""),OR(G188&lt;&gt;"Supported",AND(F188="Supported",D188&lt;&gt;"",E188&lt;&gt;""))),"Yes","No"))</f>
        <v/>
      </c>
    </row>
    <row r="189" spans="11:11">
      <c r="K189" s="11">
        <f>IF(OR(A189="",C189=""),"",IF(AND(COUNTIF(Responses!$A$6:$A$205,A189)=1,B189&lt;&gt;"",COUNTIFS($A$6:$A$2005,A189,$B$6:$B$2005,B189)=1,OR(F189="Supported",F189="Unsupported",F189="Contradicted"),OR(G189="Supported",G189="Wrong citation",G189="Missing citation"),OR(H189="Yes",H189="No"),I189&lt;&gt;"",OR(F189&lt;&gt;"Supported",E189&lt;&gt;""),OR(G189&lt;&gt;"Supported",AND(F189="Supported",D189&lt;&gt;"",E189&lt;&gt;""))),"Yes","No"))</f>
        <v/>
      </c>
    </row>
    <row r="190" spans="11:11">
      <c r="K190" s="11">
        <f>IF(OR(A190="",C190=""),"",IF(AND(COUNTIF(Responses!$A$6:$A$205,A190)=1,B190&lt;&gt;"",COUNTIFS($A$6:$A$2005,A190,$B$6:$B$2005,B190)=1,OR(F190="Supported",F190="Unsupported",F190="Contradicted"),OR(G190="Supported",G190="Wrong citation",G190="Missing citation"),OR(H190="Yes",H190="No"),I190&lt;&gt;"",OR(F190&lt;&gt;"Supported",E190&lt;&gt;""),OR(G190&lt;&gt;"Supported",AND(F190="Supported",D190&lt;&gt;"",E190&lt;&gt;""))),"Yes","No"))</f>
        <v/>
      </c>
    </row>
    <row r="191" spans="11:11">
      <c r="K191" s="11">
        <f>IF(OR(A191="",C191=""),"",IF(AND(COUNTIF(Responses!$A$6:$A$205,A191)=1,B191&lt;&gt;"",COUNTIFS($A$6:$A$2005,A191,$B$6:$B$2005,B191)=1,OR(F191="Supported",F191="Unsupported",F191="Contradicted"),OR(G191="Supported",G191="Wrong citation",G191="Missing citation"),OR(H191="Yes",H191="No"),I191&lt;&gt;"",OR(F191&lt;&gt;"Supported",E191&lt;&gt;""),OR(G191&lt;&gt;"Supported",AND(F191="Supported",D191&lt;&gt;"",E191&lt;&gt;""))),"Yes","No"))</f>
        <v/>
      </c>
    </row>
    <row r="192" spans="11:11">
      <c r="K192" s="11">
        <f>IF(OR(A192="",C192=""),"",IF(AND(COUNTIF(Responses!$A$6:$A$205,A192)=1,B192&lt;&gt;"",COUNTIFS($A$6:$A$2005,A192,$B$6:$B$2005,B192)=1,OR(F192="Supported",F192="Unsupported",F192="Contradicted"),OR(G192="Supported",G192="Wrong citation",G192="Missing citation"),OR(H192="Yes",H192="No"),I192&lt;&gt;"",OR(F192&lt;&gt;"Supported",E192&lt;&gt;""),OR(G192&lt;&gt;"Supported",AND(F192="Supported",D192&lt;&gt;"",E192&lt;&gt;""))),"Yes","No"))</f>
        <v/>
      </c>
    </row>
    <row r="193" spans="11:11">
      <c r="K193" s="11">
        <f>IF(OR(A193="",C193=""),"",IF(AND(COUNTIF(Responses!$A$6:$A$205,A193)=1,B193&lt;&gt;"",COUNTIFS($A$6:$A$2005,A193,$B$6:$B$2005,B193)=1,OR(F193="Supported",F193="Unsupported",F193="Contradicted"),OR(G193="Supported",G193="Wrong citation",G193="Missing citation"),OR(H193="Yes",H193="No"),I193&lt;&gt;"",OR(F193&lt;&gt;"Supported",E193&lt;&gt;""),OR(G193&lt;&gt;"Supported",AND(F193="Supported",D193&lt;&gt;"",E193&lt;&gt;""))),"Yes","No"))</f>
        <v/>
      </c>
    </row>
    <row r="194" spans="11:11">
      <c r="K194" s="11">
        <f>IF(OR(A194="",C194=""),"",IF(AND(COUNTIF(Responses!$A$6:$A$205,A194)=1,B194&lt;&gt;"",COUNTIFS($A$6:$A$2005,A194,$B$6:$B$2005,B194)=1,OR(F194="Supported",F194="Unsupported",F194="Contradicted"),OR(G194="Supported",G194="Wrong citation",G194="Missing citation"),OR(H194="Yes",H194="No"),I194&lt;&gt;"",OR(F194&lt;&gt;"Supported",E194&lt;&gt;""),OR(G194&lt;&gt;"Supported",AND(F194="Supported",D194&lt;&gt;"",E194&lt;&gt;""))),"Yes","No"))</f>
        <v/>
      </c>
    </row>
    <row r="195" spans="11:11">
      <c r="K195" s="11">
        <f>IF(OR(A195="",C195=""),"",IF(AND(COUNTIF(Responses!$A$6:$A$205,A195)=1,B195&lt;&gt;"",COUNTIFS($A$6:$A$2005,A195,$B$6:$B$2005,B195)=1,OR(F195="Supported",F195="Unsupported",F195="Contradicted"),OR(G195="Supported",G195="Wrong citation",G195="Missing citation"),OR(H195="Yes",H195="No"),I195&lt;&gt;"",OR(F195&lt;&gt;"Supported",E195&lt;&gt;""),OR(G195&lt;&gt;"Supported",AND(F195="Supported",D195&lt;&gt;"",E195&lt;&gt;""))),"Yes","No"))</f>
        <v/>
      </c>
    </row>
    <row r="196" spans="11:11">
      <c r="K196" s="11">
        <f>IF(OR(A196="",C196=""),"",IF(AND(COUNTIF(Responses!$A$6:$A$205,A196)=1,B196&lt;&gt;"",COUNTIFS($A$6:$A$2005,A196,$B$6:$B$2005,B196)=1,OR(F196="Supported",F196="Unsupported",F196="Contradicted"),OR(G196="Supported",G196="Wrong citation",G196="Missing citation"),OR(H196="Yes",H196="No"),I196&lt;&gt;"",OR(F196&lt;&gt;"Supported",E196&lt;&gt;""),OR(G196&lt;&gt;"Supported",AND(F196="Supported",D196&lt;&gt;"",E196&lt;&gt;""))),"Yes","No"))</f>
        <v/>
      </c>
    </row>
    <row r="197" spans="11:11">
      <c r="K197" s="11">
        <f>IF(OR(A197="",C197=""),"",IF(AND(COUNTIF(Responses!$A$6:$A$205,A197)=1,B197&lt;&gt;"",COUNTIFS($A$6:$A$2005,A197,$B$6:$B$2005,B197)=1,OR(F197="Supported",F197="Unsupported",F197="Contradicted"),OR(G197="Supported",G197="Wrong citation",G197="Missing citation"),OR(H197="Yes",H197="No"),I197&lt;&gt;"",OR(F197&lt;&gt;"Supported",E197&lt;&gt;""),OR(G197&lt;&gt;"Supported",AND(F197="Supported",D197&lt;&gt;"",E197&lt;&gt;""))),"Yes","No"))</f>
        <v/>
      </c>
    </row>
    <row r="198" spans="11:11">
      <c r="K198" s="11">
        <f>IF(OR(A198="",C198=""),"",IF(AND(COUNTIF(Responses!$A$6:$A$205,A198)=1,B198&lt;&gt;"",COUNTIFS($A$6:$A$2005,A198,$B$6:$B$2005,B198)=1,OR(F198="Supported",F198="Unsupported",F198="Contradicted"),OR(G198="Supported",G198="Wrong citation",G198="Missing citation"),OR(H198="Yes",H198="No"),I198&lt;&gt;"",OR(F198&lt;&gt;"Supported",E198&lt;&gt;""),OR(G198&lt;&gt;"Supported",AND(F198="Supported",D198&lt;&gt;"",E198&lt;&gt;""))),"Yes","No"))</f>
        <v/>
      </c>
    </row>
    <row r="199" spans="11:11">
      <c r="K199" s="11">
        <f>IF(OR(A199="",C199=""),"",IF(AND(COUNTIF(Responses!$A$6:$A$205,A199)=1,B199&lt;&gt;"",COUNTIFS($A$6:$A$2005,A199,$B$6:$B$2005,B199)=1,OR(F199="Supported",F199="Unsupported",F199="Contradicted"),OR(G199="Supported",G199="Wrong citation",G199="Missing citation"),OR(H199="Yes",H199="No"),I199&lt;&gt;"",OR(F199&lt;&gt;"Supported",E199&lt;&gt;""),OR(G199&lt;&gt;"Supported",AND(F199="Supported",D199&lt;&gt;"",E199&lt;&gt;""))),"Yes","No"))</f>
        <v/>
      </c>
    </row>
    <row r="200" spans="11:11">
      <c r="K200" s="11">
        <f>IF(OR(A200="",C200=""),"",IF(AND(COUNTIF(Responses!$A$6:$A$205,A200)=1,B200&lt;&gt;"",COUNTIFS($A$6:$A$2005,A200,$B$6:$B$2005,B200)=1,OR(F200="Supported",F200="Unsupported",F200="Contradicted"),OR(G200="Supported",G200="Wrong citation",G200="Missing citation"),OR(H200="Yes",H200="No"),I200&lt;&gt;"",OR(F200&lt;&gt;"Supported",E200&lt;&gt;""),OR(G200&lt;&gt;"Supported",AND(F200="Supported",D200&lt;&gt;"",E200&lt;&gt;""))),"Yes","No"))</f>
        <v/>
      </c>
    </row>
    <row r="201" spans="11:11">
      <c r="K201" s="11">
        <f>IF(OR(A201="",C201=""),"",IF(AND(COUNTIF(Responses!$A$6:$A$205,A201)=1,B201&lt;&gt;"",COUNTIFS($A$6:$A$2005,A201,$B$6:$B$2005,B201)=1,OR(F201="Supported",F201="Unsupported",F201="Contradicted"),OR(G201="Supported",G201="Wrong citation",G201="Missing citation"),OR(H201="Yes",H201="No"),I201&lt;&gt;"",OR(F201&lt;&gt;"Supported",E201&lt;&gt;""),OR(G201&lt;&gt;"Supported",AND(F201="Supported",D201&lt;&gt;"",E201&lt;&gt;""))),"Yes","No"))</f>
        <v/>
      </c>
    </row>
    <row r="202" spans="11:11">
      <c r="K202" s="11">
        <f>IF(OR(A202="",C202=""),"",IF(AND(COUNTIF(Responses!$A$6:$A$205,A202)=1,B202&lt;&gt;"",COUNTIFS($A$6:$A$2005,A202,$B$6:$B$2005,B202)=1,OR(F202="Supported",F202="Unsupported",F202="Contradicted"),OR(G202="Supported",G202="Wrong citation",G202="Missing citation"),OR(H202="Yes",H202="No"),I202&lt;&gt;"",OR(F202&lt;&gt;"Supported",E202&lt;&gt;""),OR(G202&lt;&gt;"Supported",AND(F202="Supported",D202&lt;&gt;"",E202&lt;&gt;""))),"Yes","No"))</f>
        <v/>
      </c>
    </row>
    <row r="203" spans="11:11">
      <c r="K203" s="11">
        <f>IF(OR(A203="",C203=""),"",IF(AND(COUNTIF(Responses!$A$6:$A$205,A203)=1,B203&lt;&gt;"",COUNTIFS($A$6:$A$2005,A203,$B$6:$B$2005,B203)=1,OR(F203="Supported",F203="Unsupported",F203="Contradicted"),OR(G203="Supported",G203="Wrong citation",G203="Missing citation"),OR(H203="Yes",H203="No"),I203&lt;&gt;"",OR(F203&lt;&gt;"Supported",E203&lt;&gt;""),OR(G203&lt;&gt;"Supported",AND(F203="Supported",D203&lt;&gt;"",E203&lt;&gt;""))),"Yes","No"))</f>
        <v/>
      </c>
    </row>
    <row r="204" spans="11:11">
      <c r="K204" s="11">
        <f>IF(OR(A204="",C204=""),"",IF(AND(COUNTIF(Responses!$A$6:$A$205,A204)=1,B204&lt;&gt;"",COUNTIFS($A$6:$A$2005,A204,$B$6:$B$2005,B204)=1,OR(F204="Supported",F204="Unsupported",F204="Contradicted"),OR(G204="Supported",G204="Wrong citation",G204="Missing citation"),OR(H204="Yes",H204="No"),I204&lt;&gt;"",OR(F204&lt;&gt;"Supported",E204&lt;&gt;""),OR(G204&lt;&gt;"Supported",AND(F204="Supported",D204&lt;&gt;"",E204&lt;&gt;""))),"Yes","No"))</f>
        <v/>
      </c>
    </row>
    <row r="205" spans="11:11">
      <c r="K205" s="11">
        <f>IF(OR(A205="",C205=""),"",IF(AND(COUNTIF(Responses!$A$6:$A$205,A205)=1,B205&lt;&gt;"",COUNTIFS($A$6:$A$2005,A205,$B$6:$B$2005,B205)=1,OR(F205="Supported",F205="Unsupported",F205="Contradicted"),OR(G205="Supported",G205="Wrong citation",G205="Missing citation"),OR(H205="Yes",H205="No"),I205&lt;&gt;"",OR(F205&lt;&gt;"Supported",E205&lt;&gt;""),OR(G205&lt;&gt;"Supported",AND(F205="Supported",D205&lt;&gt;"",E205&lt;&gt;""))),"Yes","No"))</f>
        <v/>
      </c>
    </row>
    <row r="206" spans="11:11">
      <c r="K206" s="11">
        <f>IF(OR(A206="",C206=""),"",IF(AND(COUNTIF(Responses!$A$6:$A$205,A206)=1,B206&lt;&gt;"",COUNTIFS($A$6:$A$2005,A206,$B$6:$B$2005,B206)=1,OR(F206="Supported",F206="Unsupported",F206="Contradicted"),OR(G206="Supported",G206="Wrong citation",G206="Missing citation"),OR(H206="Yes",H206="No"),I206&lt;&gt;"",OR(F206&lt;&gt;"Supported",E206&lt;&gt;""),OR(G206&lt;&gt;"Supported",AND(F206="Supported",D206&lt;&gt;"",E206&lt;&gt;""))),"Yes","No"))</f>
        <v/>
      </c>
    </row>
    <row r="207" spans="11:11">
      <c r="K207" s="11">
        <f>IF(OR(A207="",C207=""),"",IF(AND(COUNTIF(Responses!$A$6:$A$205,A207)=1,B207&lt;&gt;"",COUNTIFS($A$6:$A$2005,A207,$B$6:$B$2005,B207)=1,OR(F207="Supported",F207="Unsupported",F207="Contradicted"),OR(G207="Supported",G207="Wrong citation",G207="Missing citation"),OR(H207="Yes",H207="No"),I207&lt;&gt;"",OR(F207&lt;&gt;"Supported",E207&lt;&gt;""),OR(G207&lt;&gt;"Supported",AND(F207="Supported",D207&lt;&gt;"",E207&lt;&gt;""))),"Yes","No"))</f>
        <v/>
      </c>
    </row>
    <row r="208" spans="11:11">
      <c r="K208" s="11">
        <f>IF(OR(A208="",C208=""),"",IF(AND(COUNTIF(Responses!$A$6:$A$205,A208)=1,B208&lt;&gt;"",COUNTIFS($A$6:$A$2005,A208,$B$6:$B$2005,B208)=1,OR(F208="Supported",F208="Unsupported",F208="Contradicted"),OR(G208="Supported",G208="Wrong citation",G208="Missing citation"),OR(H208="Yes",H208="No"),I208&lt;&gt;"",OR(F208&lt;&gt;"Supported",E208&lt;&gt;""),OR(G208&lt;&gt;"Supported",AND(F208="Supported",D208&lt;&gt;"",E208&lt;&gt;""))),"Yes","No"))</f>
        <v/>
      </c>
    </row>
    <row r="209" spans="11:11">
      <c r="K209" s="11">
        <f>IF(OR(A209="",C209=""),"",IF(AND(COUNTIF(Responses!$A$6:$A$205,A209)=1,B209&lt;&gt;"",COUNTIFS($A$6:$A$2005,A209,$B$6:$B$2005,B209)=1,OR(F209="Supported",F209="Unsupported",F209="Contradicted"),OR(G209="Supported",G209="Wrong citation",G209="Missing citation"),OR(H209="Yes",H209="No"),I209&lt;&gt;"",OR(F209&lt;&gt;"Supported",E209&lt;&gt;""),OR(G209&lt;&gt;"Supported",AND(F209="Supported",D209&lt;&gt;"",E209&lt;&gt;""))),"Yes","No"))</f>
        <v/>
      </c>
    </row>
    <row r="210" spans="11:11">
      <c r="K210" s="11">
        <f>IF(OR(A210="",C210=""),"",IF(AND(COUNTIF(Responses!$A$6:$A$205,A210)=1,B210&lt;&gt;"",COUNTIFS($A$6:$A$2005,A210,$B$6:$B$2005,B210)=1,OR(F210="Supported",F210="Unsupported",F210="Contradicted"),OR(G210="Supported",G210="Wrong citation",G210="Missing citation"),OR(H210="Yes",H210="No"),I210&lt;&gt;"",OR(F210&lt;&gt;"Supported",E210&lt;&gt;""),OR(G210&lt;&gt;"Supported",AND(F210="Supported",D210&lt;&gt;"",E210&lt;&gt;""))),"Yes","No"))</f>
        <v/>
      </c>
    </row>
    <row r="211" spans="11:11">
      <c r="K211" s="11">
        <f>IF(OR(A211="",C211=""),"",IF(AND(COUNTIF(Responses!$A$6:$A$205,A211)=1,B211&lt;&gt;"",COUNTIFS($A$6:$A$2005,A211,$B$6:$B$2005,B211)=1,OR(F211="Supported",F211="Unsupported",F211="Contradicted"),OR(G211="Supported",G211="Wrong citation",G211="Missing citation"),OR(H211="Yes",H211="No"),I211&lt;&gt;"",OR(F211&lt;&gt;"Supported",E211&lt;&gt;""),OR(G211&lt;&gt;"Supported",AND(F211="Supported",D211&lt;&gt;"",E211&lt;&gt;""))),"Yes","No"))</f>
        <v/>
      </c>
    </row>
    <row r="212" spans="11:11">
      <c r="K212" s="11">
        <f>IF(OR(A212="",C212=""),"",IF(AND(COUNTIF(Responses!$A$6:$A$205,A212)=1,B212&lt;&gt;"",COUNTIFS($A$6:$A$2005,A212,$B$6:$B$2005,B212)=1,OR(F212="Supported",F212="Unsupported",F212="Contradicted"),OR(G212="Supported",G212="Wrong citation",G212="Missing citation"),OR(H212="Yes",H212="No"),I212&lt;&gt;"",OR(F212&lt;&gt;"Supported",E212&lt;&gt;""),OR(G212&lt;&gt;"Supported",AND(F212="Supported",D212&lt;&gt;"",E212&lt;&gt;""))),"Yes","No"))</f>
        <v/>
      </c>
    </row>
    <row r="213" spans="11:11">
      <c r="K213" s="11">
        <f>IF(OR(A213="",C213=""),"",IF(AND(COUNTIF(Responses!$A$6:$A$205,A213)=1,B213&lt;&gt;"",COUNTIFS($A$6:$A$2005,A213,$B$6:$B$2005,B213)=1,OR(F213="Supported",F213="Unsupported",F213="Contradicted"),OR(G213="Supported",G213="Wrong citation",G213="Missing citation"),OR(H213="Yes",H213="No"),I213&lt;&gt;"",OR(F213&lt;&gt;"Supported",E213&lt;&gt;""),OR(G213&lt;&gt;"Supported",AND(F213="Supported",D213&lt;&gt;"",E213&lt;&gt;""))),"Yes","No"))</f>
        <v/>
      </c>
    </row>
    <row r="214" spans="11:11">
      <c r="K214" s="11">
        <f>IF(OR(A214="",C214=""),"",IF(AND(COUNTIF(Responses!$A$6:$A$205,A214)=1,B214&lt;&gt;"",COUNTIFS($A$6:$A$2005,A214,$B$6:$B$2005,B214)=1,OR(F214="Supported",F214="Unsupported",F214="Contradicted"),OR(G214="Supported",G214="Wrong citation",G214="Missing citation"),OR(H214="Yes",H214="No"),I214&lt;&gt;"",OR(F214&lt;&gt;"Supported",E214&lt;&gt;""),OR(G214&lt;&gt;"Supported",AND(F214="Supported",D214&lt;&gt;"",E214&lt;&gt;""))),"Yes","No"))</f>
        <v/>
      </c>
    </row>
    <row r="215" spans="11:11">
      <c r="K215" s="11">
        <f>IF(OR(A215="",C215=""),"",IF(AND(COUNTIF(Responses!$A$6:$A$205,A215)=1,B215&lt;&gt;"",COUNTIFS($A$6:$A$2005,A215,$B$6:$B$2005,B215)=1,OR(F215="Supported",F215="Unsupported",F215="Contradicted"),OR(G215="Supported",G215="Wrong citation",G215="Missing citation"),OR(H215="Yes",H215="No"),I215&lt;&gt;"",OR(F215&lt;&gt;"Supported",E215&lt;&gt;""),OR(G215&lt;&gt;"Supported",AND(F215="Supported",D215&lt;&gt;"",E215&lt;&gt;""))),"Yes","No"))</f>
        <v/>
      </c>
    </row>
    <row r="216" spans="11:11">
      <c r="K216" s="11">
        <f>IF(OR(A216="",C216=""),"",IF(AND(COUNTIF(Responses!$A$6:$A$205,A216)=1,B216&lt;&gt;"",COUNTIFS($A$6:$A$2005,A216,$B$6:$B$2005,B216)=1,OR(F216="Supported",F216="Unsupported",F216="Contradicted"),OR(G216="Supported",G216="Wrong citation",G216="Missing citation"),OR(H216="Yes",H216="No"),I216&lt;&gt;"",OR(F216&lt;&gt;"Supported",E216&lt;&gt;""),OR(G216&lt;&gt;"Supported",AND(F216="Supported",D216&lt;&gt;"",E216&lt;&gt;""))),"Yes","No"))</f>
        <v/>
      </c>
    </row>
    <row r="217" spans="11:11">
      <c r="K217" s="11">
        <f>IF(OR(A217="",C217=""),"",IF(AND(COUNTIF(Responses!$A$6:$A$205,A217)=1,B217&lt;&gt;"",COUNTIFS($A$6:$A$2005,A217,$B$6:$B$2005,B217)=1,OR(F217="Supported",F217="Unsupported",F217="Contradicted"),OR(G217="Supported",G217="Wrong citation",G217="Missing citation"),OR(H217="Yes",H217="No"),I217&lt;&gt;"",OR(F217&lt;&gt;"Supported",E217&lt;&gt;""),OR(G217&lt;&gt;"Supported",AND(F217="Supported",D217&lt;&gt;"",E217&lt;&gt;""))),"Yes","No"))</f>
        <v/>
      </c>
    </row>
    <row r="218" spans="11:11">
      <c r="K218" s="11">
        <f>IF(OR(A218="",C218=""),"",IF(AND(COUNTIF(Responses!$A$6:$A$205,A218)=1,B218&lt;&gt;"",COUNTIFS($A$6:$A$2005,A218,$B$6:$B$2005,B218)=1,OR(F218="Supported",F218="Unsupported",F218="Contradicted"),OR(G218="Supported",G218="Wrong citation",G218="Missing citation"),OR(H218="Yes",H218="No"),I218&lt;&gt;"",OR(F218&lt;&gt;"Supported",E218&lt;&gt;""),OR(G218&lt;&gt;"Supported",AND(F218="Supported",D218&lt;&gt;"",E218&lt;&gt;""))),"Yes","No"))</f>
        <v/>
      </c>
    </row>
    <row r="219" spans="11:11">
      <c r="K219" s="11">
        <f>IF(OR(A219="",C219=""),"",IF(AND(COUNTIF(Responses!$A$6:$A$205,A219)=1,B219&lt;&gt;"",COUNTIFS($A$6:$A$2005,A219,$B$6:$B$2005,B219)=1,OR(F219="Supported",F219="Unsupported",F219="Contradicted"),OR(G219="Supported",G219="Wrong citation",G219="Missing citation"),OR(H219="Yes",H219="No"),I219&lt;&gt;"",OR(F219&lt;&gt;"Supported",E219&lt;&gt;""),OR(G219&lt;&gt;"Supported",AND(F219="Supported",D219&lt;&gt;"",E219&lt;&gt;""))),"Yes","No"))</f>
        <v/>
      </c>
    </row>
    <row r="220" spans="11:11">
      <c r="K220" s="11">
        <f>IF(OR(A220="",C220=""),"",IF(AND(COUNTIF(Responses!$A$6:$A$205,A220)=1,B220&lt;&gt;"",COUNTIFS($A$6:$A$2005,A220,$B$6:$B$2005,B220)=1,OR(F220="Supported",F220="Unsupported",F220="Contradicted"),OR(G220="Supported",G220="Wrong citation",G220="Missing citation"),OR(H220="Yes",H220="No"),I220&lt;&gt;"",OR(F220&lt;&gt;"Supported",E220&lt;&gt;""),OR(G220&lt;&gt;"Supported",AND(F220="Supported",D220&lt;&gt;"",E220&lt;&gt;""))),"Yes","No"))</f>
        <v/>
      </c>
    </row>
    <row r="221" spans="11:11">
      <c r="K221" s="11">
        <f>IF(OR(A221="",C221=""),"",IF(AND(COUNTIF(Responses!$A$6:$A$205,A221)=1,B221&lt;&gt;"",COUNTIFS($A$6:$A$2005,A221,$B$6:$B$2005,B221)=1,OR(F221="Supported",F221="Unsupported",F221="Contradicted"),OR(G221="Supported",G221="Wrong citation",G221="Missing citation"),OR(H221="Yes",H221="No"),I221&lt;&gt;"",OR(F221&lt;&gt;"Supported",E221&lt;&gt;""),OR(G221&lt;&gt;"Supported",AND(F221="Supported",D221&lt;&gt;"",E221&lt;&gt;""))),"Yes","No"))</f>
        <v/>
      </c>
    </row>
    <row r="222" spans="11:11">
      <c r="K222" s="11">
        <f>IF(OR(A222="",C222=""),"",IF(AND(COUNTIF(Responses!$A$6:$A$205,A222)=1,B222&lt;&gt;"",COUNTIFS($A$6:$A$2005,A222,$B$6:$B$2005,B222)=1,OR(F222="Supported",F222="Unsupported",F222="Contradicted"),OR(G222="Supported",G222="Wrong citation",G222="Missing citation"),OR(H222="Yes",H222="No"),I222&lt;&gt;"",OR(F222&lt;&gt;"Supported",E222&lt;&gt;""),OR(G222&lt;&gt;"Supported",AND(F222="Supported",D222&lt;&gt;"",E222&lt;&gt;""))),"Yes","No"))</f>
        <v/>
      </c>
    </row>
    <row r="223" spans="11:11">
      <c r="K223" s="11">
        <f>IF(OR(A223="",C223=""),"",IF(AND(COUNTIF(Responses!$A$6:$A$205,A223)=1,B223&lt;&gt;"",COUNTIFS($A$6:$A$2005,A223,$B$6:$B$2005,B223)=1,OR(F223="Supported",F223="Unsupported",F223="Contradicted"),OR(G223="Supported",G223="Wrong citation",G223="Missing citation"),OR(H223="Yes",H223="No"),I223&lt;&gt;"",OR(F223&lt;&gt;"Supported",E223&lt;&gt;""),OR(G223&lt;&gt;"Supported",AND(F223="Supported",D223&lt;&gt;"",E223&lt;&gt;""))),"Yes","No"))</f>
        <v/>
      </c>
    </row>
    <row r="224" spans="11:11">
      <c r="K224" s="11">
        <f>IF(OR(A224="",C224=""),"",IF(AND(COUNTIF(Responses!$A$6:$A$205,A224)=1,B224&lt;&gt;"",COUNTIFS($A$6:$A$2005,A224,$B$6:$B$2005,B224)=1,OR(F224="Supported",F224="Unsupported",F224="Contradicted"),OR(G224="Supported",G224="Wrong citation",G224="Missing citation"),OR(H224="Yes",H224="No"),I224&lt;&gt;"",OR(F224&lt;&gt;"Supported",E224&lt;&gt;""),OR(G224&lt;&gt;"Supported",AND(F224="Supported",D224&lt;&gt;"",E224&lt;&gt;""))),"Yes","No"))</f>
        <v/>
      </c>
    </row>
    <row r="225" spans="11:11">
      <c r="K225" s="11">
        <f>IF(OR(A225="",C225=""),"",IF(AND(COUNTIF(Responses!$A$6:$A$205,A225)=1,B225&lt;&gt;"",COUNTIFS($A$6:$A$2005,A225,$B$6:$B$2005,B225)=1,OR(F225="Supported",F225="Unsupported",F225="Contradicted"),OR(G225="Supported",G225="Wrong citation",G225="Missing citation"),OR(H225="Yes",H225="No"),I225&lt;&gt;"",OR(F225&lt;&gt;"Supported",E225&lt;&gt;""),OR(G225&lt;&gt;"Supported",AND(F225="Supported",D225&lt;&gt;"",E225&lt;&gt;""))),"Yes","No"))</f>
        <v/>
      </c>
    </row>
    <row r="226" spans="11:11">
      <c r="K226" s="11">
        <f>IF(OR(A226="",C226=""),"",IF(AND(COUNTIF(Responses!$A$6:$A$205,A226)=1,B226&lt;&gt;"",COUNTIFS($A$6:$A$2005,A226,$B$6:$B$2005,B226)=1,OR(F226="Supported",F226="Unsupported",F226="Contradicted"),OR(G226="Supported",G226="Wrong citation",G226="Missing citation"),OR(H226="Yes",H226="No"),I226&lt;&gt;"",OR(F226&lt;&gt;"Supported",E226&lt;&gt;""),OR(G226&lt;&gt;"Supported",AND(F226="Supported",D226&lt;&gt;"",E226&lt;&gt;""))),"Yes","No"))</f>
        <v/>
      </c>
    </row>
    <row r="227" spans="11:11">
      <c r="K227" s="11">
        <f>IF(OR(A227="",C227=""),"",IF(AND(COUNTIF(Responses!$A$6:$A$205,A227)=1,B227&lt;&gt;"",COUNTIFS($A$6:$A$2005,A227,$B$6:$B$2005,B227)=1,OR(F227="Supported",F227="Unsupported",F227="Contradicted"),OR(G227="Supported",G227="Wrong citation",G227="Missing citation"),OR(H227="Yes",H227="No"),I227&lt;&gt;"",OR(F227&lt;&gt;"Supported",E227&lt;&gt;""),OR(G227&lt;&gt;"Supported",AND(F227="Supported",D227&lt;&gt;"",E227&lt;&gt;""))),"Yes","No"))</f>
        <v/>
      </c>
    </row>
    <row r="228" spans="11:11">
      <c r="K228" s="11">
        <f>IF(OR(A228="",C228=""),"",IF(AND(COUNTIF(Responses!$A$6:$A$205,A228)=1,B228&lt;&gt;"",COUNTIFS($A$6:$A$2005,A228,$B$6:$B$2005,B228)=1,OR(F228="Supported",F228="Unsupported",F228="Contradicted"),OR(G228="Supported",G228="Wrong citation",G228="Missing citation"),OR(H228="Yes",H228="No"),I228&lt;&gt;"",OR(F228&lt;&gt;"Supported",E228&lt;&gt;""),OR(G228&lt;&gt;"Supported",AND(F228="Supported",D228&lt;&gt;"",E228&lt;&gt;""))),"Yes","No"))</f>
        <v/>
      </c>
    </row>
    <row r="229" spans="11:11">
      <c r="K229" s="11">
        <f>IF(OR(A229="",C229=""),"",IF(AND(COUNTIF(Responses!$A$6:$A$205,A229)=1,B229&lt;&gt;"",COUNTIFS($A$6:$A$2005,A229,$B$6:$B$2005,B229)=1,OR(F229="Supported",F229="Unsupported",F229="Contradicted"),OR(G229="Supported",G229="Wrong citation",G229="Missing citation"),OR(H229="Yes",H229="No"),I229&lt;&gt;"",OR(F229&lt;&gt;"Supported",E229&lt;&gt;""),OR(G229&lt;&gt;"Supported",AND(F229="Supported",D229&lt;&gt;"",E229&lt;&gt;""))),"Yes","No"))</f>
        <v/>
      </c>
    </row>
    <row r="230" spans="11:11">
      <c r="K230" s="11">
        <f>IF(OR(A230="",C230=""),"",IF(AND(COUNTIF(Responses!$A$6:$A$205,A230)=1,B230&lt;&gt;"",COUNTIFS($A$6:$A$2005,A230,$B$6:$B$2005,B230)=1,OR(F230="Supported",F230="Unsupported",F230="Contradicted"),OR(G230="Supported",G230="Wrong citation",G230="Missing citation"),OR(H230="Yes",H230="No"),I230&lt;&gt;"",OR(F230&lt;&gt;"Supported",E230&lt;&gt;""),OR(G230&lt;&gt;"Supported",AND(F230="Supported",D230&lt;&gt;"",E230&lt;&gt;""))),"Yes","No"))</f>
        <v/>
      </c>
    </row>
    <row r="231" spans="11:11">
      <c r="K231" s="11">
        <f>IF(OR(A231="",C231=""),"",IF(AND(COUNTIF(Responses!$A$6:$A$205,A231)=1,B231&lt;&gt;"",COUNTIFS($A$6:$A$2005,A231,$B$6:$B$2005,B231)=1,OR(F231="Supported",F231="Unsupported",F231="Contradicted"),OR(G231="Supported",G231="Wrong citation",G231="Missing citation"),OR(H231="Yes",H231="No"),I231&lt;&gt;"",OR(F231&lt;&gt;"Supported",E231&lt;&gt;""),OR(G231&lt;&gt;"Supported",AND(F231="Supported",D231&lt;&gt;"",E231&lt;&gt;""))),"Yes","No"))</f>
        <v/>
      </c>
    </row>
    <row r="232" spans="11:11">
      <c r="K232" s="11">
        <f>IF(OR(A232="",C232=""),"",IF(AND(COUNTIF(Responses!$A$6:$A$205,A232)=1,B232&lt;&gt;"",COUNTIFS($A$6:$A$2005,A232,$B$6:$B$2005,B232)=1,OR(F232="Supported",F232="Unsupported",F232="Contradicted"),OR(G232="Supported",G232="Wrong citation",G232="Missing citation"),OR(H232="Yes",H232="No"),I232&lt;&gt;"",OR(F232&lt;&gt;"Supported",E232&lt;&gt;""),OR(G232&lt;&gt;"Supported",AND(F232="Supported",D232&lt;&gt;"",E232&lt;&gt;""))),"Yes","No"))</f>
        <v/>
      </c>
    </row>
    <row r="233" spans="11:11">
      <c r="K233" s="11">
        <f>IF(OR(A233="",C233=""),"",IF(AND(COUNTIF(Responses!$A$6:$A$205,A233)=1,B233&lt;&gt;"",COUNTIFS($A$6:$A$2005,A233,$B$6:$B$2005,B233)=1,OR(F233="Supported",F233="Unsupported",F233="Contradicted"),OR(G233="Supported",G233="Wrong citation",G233="Missing citation"),OR(H233="Yes",H233="No"),I233&lt;&gt;"",OR(F233&lt;&gt;"Supported",E233&lt;&gt;""),OR(G233&lt;&gt;"Supported",AND(F233="Supported",D233&lt;&gt;"",E233&lt;&gt;""))),"Yes","No"))</f>
        <v/>
      </c>
    </row>
    <row r="234" spans="11:11">
      <c r="K234" s="11">
        <f>IF(OR(A234="",C234=""),"",IF(AND(COUNTIF(Responses!$A$6:$A$205,A234)=1,B234&lt;&gt;"",COUNTIFS($A$6:$A$2005,A234,$B$6:$B$2005,B234)=1,OR(F234="Supported",F234="Unsupported",F234="Contradicted"),OR(G234="Supported",G234="Wrong citation",G234="Missing citation"),OR(H234="Yes",H234="No"),I234&lt;&gt;"",OR(F234&lt;&gt;"Supported",E234&lt;&gt;""),OR(G234&lt;&gt;"Supported",AND(F234="Supported",D234&lt;&gt;"",E234&lt;&gt;""))),"Yes","No"))</f>
        <v/>
      </c>
    </row>
    <row r="235" spans="11:11">
      <c r="K235" s="11">
        <f>IF(OR(A235="",C235=""),"",IF(AND(COUNTIF(Responses!$A$6:$A$205,A235)=1,B235&lt;&gt;"",COUNTIFS($A$6:$A$2005,A235,$B$6:$B$2005,B235)=1,OR(F235="Supported",F235="Unsupported",F235="Contradicted"),OR(G235="Supported",G235="Wrong citation",G235="Missing citation"),OR(H235="Yes",H235="No"),I235&lt;&gt;"",OR(F235&lt;&gt;"Supported",E235&lt;&gt;""),OR(G235&lt;&gt;"Supported",AND(F235="Supported",D235&lt;&gt;"",E235&lt;&gt;""))),"Yes","No"))</f>
        <v/>
      </c>
    </row>
    <row r="236" spans="11:11">
      <c r="K236" s="11">
        <f>IF(OR(A236="",C236=""),"",IF(AND(COUNTIF(Responses!$A$6:$A$205,A236)=1,B236&lt;&gt;"",COUNTIFS($A$6:$A$2005,A236,$B$6:$B$2005,B236)=1,OR(F236="Supported",F236="Unsupported",F236="Contradicted"),OR(G236="Supported",G236="Wrong citation",G236="Missing citation"),OR(H236="Yes",H236="No"),I236&lt;&gt;"",OR(F236&lt;&gt;"Supported",E236&lt;&gt;""),OR(G236&lt;&gt;"Supported",AND(F236="Supported",D236&lt;&gt;"",E236&lt;&gt;""))),"Yes","No"))</f>
        <v/>
      </c>
    </row>
    <row r="237" spans="11:11">
      <c r="K237" s="11">
        <f>IF(OR(A237="",C237=""),"",IF(AND(COUNTIF(Responses!$A$6:$A$205,A237)=1,B237&lt;&gt;"",COUNTIFS($A$6:$A$2005,A237,$B$6:$B$2005,B237)=1,OR(F237="Supported",F237="Unsupported",F237="Contradicted"),OR(G237="Supported",G237="Wrong citation",G237="Missing citation"),OR(H237="Yes",H237="No"),I237&lt;&gt;"",OR(F237&lt;&gt;"Supported",E237&lt;&gt;""),OR(G237&lt;&gt;"Supported",AND(F237="Supported",D237&lt;&gt;"",E237&lt;&gt;""))),"Yes","No"))</f>
        <v/>
      </c>
    </row>
    <row r="238" spans="11:11">
      <c r="K238" s="11">
        <f>IF(OR(A238="",C238=""),"",IF(AND(COUNTIF(Responses!$A$6:$A$205,A238)=1,B238&lt;&gt;"",COUNTIFS($A$6:$A$2005,A238,$B$6:$B$2005,B238)=1,OR(F238="Supported",F238="Unsupported",F238="Contradicted"),OR(G238="Supported",G238="Wrong citation",G238="Missing citation"),OR(H238="Yes",H238="No"),I238&lt;&gt;"",OR(F238&lt;&gt;"Supported",E238&lt;&gt;""),OR(G238&lt;&gt;"Supported",AND(F238="Supported",D238&lt;&gt;"",E238&lt;&gt;""))),"Yes","No"))</f>
        <v/>
      </c>
    </row>
    <row r="239" spans="11:11">
      <c r="K239" s="11">
        <f>IF(OR(A239="",C239=""),"",IF(AND(COUNTIF(Responses!$A$6:$A$205,A239)=1,B239&lt;&gt;"",COUNTIFS($A$6:$A$2005,A239,$B$6:$B$2005,B239)=1,OR(F239="Supported",F239="Unsupported",F239="Contradicted"),OR(G239="Supported",G239="Wrong citation",G239="Missing citation"),OR(H239="Yes",H239="No"),I239&lt;&gt;"",OR(F239&lt;&gt;"Supported",E239&lt;&gt;""),OR(G239&lt;&gt;"Supported",AND(F239="Supported",D239&lt;&gt;"",E239&lt;&gt;""))),"Yes","No"))</f>
        <v/>
      </c>
    </row>
    <row r="240" spans="11:11">
      <c r="K240" s="11">
        <f>IF(OR(A240="",C240=""),"",IF(AND(COUNTIF(Responses!$A$6:$A$205,A240)=1,B240&lt;&gt;"",COUNTIFS($A$6:$A$2005,A240,$B$6:$B$2005,B240)=1,OR(F240="Supported",F240="Unsupported",F240="Contradicted"),OR(G240="Supported",G240="Wrong citation",G240="Missing citation"),OR(H240="Yes",H240="No"),I240&lt;&gt;"",OR(F240&lt;&gt;"Supported",E240&lt;&gt;""),OR(G240&lt;&gt;"Supported",AND(F240="Supported",D240&lt;&gt;"",E240&lt;&gt;""))),"Yes","No"))</f>
        <v/>
      </c>
    </row>
    <row r="241" spans="11:11">
      <c r="K241" s="11">
        <f>IF(OR(A241="",C241=""),"",IF(AND(COUNTIF(Responses!$A$6:$A$205,A241)=1,B241&lt;&gt;"",COUNTIFS($A$6:$A$2005,A241,$B$6:$B$2005,B241)=1,OR(F241="Supported",F241="Unsupported",F241="Contradicted"),OR(G241="Supported",G241="Wrong citation",G241="Missing citation"),OR(H241="Yes",H241="No"),I241&lt;&gt;"",OR(F241&lt;&gt;"Supported",E241&lt;&gt;""),OR(G241&lt;&gt;"Supported",AND(F241="Supported",D241&lt;&gt;"",E241&lt;&gt;""))),"Yes","No"))</f>
        <v/>
      </c>
    </row>
    <row r="242" spans="11:11">
      <c r="K242" s="11">
        <f>IF(OR(A242="",C242=""),"",IF(AND(COUNTIF(Responses!$A$6:$A$205,A242)=1,B242&lt;&gt;"",COUNTIFS($A$6:$A$2005,A242,$B$6:$B$2005,B242)=1,OR(F242="Supported",F242="Unsupported",F242="Contradicted"),OR(G242="Supported",G242="Wrong citation",G242="Missing citation"),OR(H242="Yes",H242="No"),I242&lt;&gt;"",OR(F242&lt;&gt;"Supported",E242&lt;&gt;""),OR(G242&lt;&gt;"Supported",AND(F242="Supported",D242&lt;&gt;"",E242&lt;&gt;""))),"Yes","No"))</f>
        <v/>
      </c>
    </row>
    <row r="243" spans="11:11">
      <c r="K243" s="11">
        <f>IF(OR(A243="",C243=""),"",IF(AND(COUNTIF(Responses!$A$6:$A$205,A243)=1,B243&lt;&gt;"",COUNTIFS($A$6:$A$2005,A243,$B$6:$B$2005,B243)=1,OR(F243="Supported",F243="Unsupported",F243="Contradicted"),OR(G243="Supported",G243="Wrong citation",G243="Missing citation"),OR(H243="Yes",H243="No"),I243&lt;&gt;"",OR(F243&lt;&gt;"Supported",E243&lt;&gt;""),OR(G243&lt;&gt;"Supported",AND(F243="Supported",D243&lt;&gt;"",E243&lt;&gt;""))),"Yes","No"))</f>
        <v/>
      </c>
    </row>
    <row r="244" spans="11:11">
      <c r="K244" s="11">
        <f>IF(OR(A244="",C244=""),"",IF(AND(COUNTIF(Responses!$A$6:$A$205,A244)=1,B244&lt;&gt;"",COUNTIFS($A$6:$A$2005,A244,$B$6:$B$2005,B244)=1,OR(F244="Supported",F244="Unsupported",F244="Contradicted"),OR(G244="Supported",G244="Wrong citation",G244="Missing citation"),OR(H244="Yes",H244="No"),I244&lt;&gt;"",OR(F244&lt;&gt;"Supported",E244&lt;&gt;""),OR(G244&lt;&gt;"Supported",AND(F244="Supported",D244&lt;&gt;"",E244&lt;&gt;""))),"Yes","No"))</f>
        <v/>
      </c>
    </row>
    <row r="245" spans="11:11">
      <c r="K245" s="11">
        <f>IF(OR(A245="",C245=""),"",IF(AND(COUNTIF(Responses!$A$6:$A$205,A245)=1,B245&lt;&gt;"",COUNTIFS($A$6:$A$2005,A245,$B$6:$B$2005,B245)=1,OR(F245="Supported",F245="Unsupported",F245="Contradicted"),OR(G245="Supported",G245="Wrong citation",G245="Missing citation"),OR(H245="Yes",H245="No"),I245&lt;&gt;"",OR(F245&lt;&gt;"Supported",E245&lt;&gt;""),OR(G245&lt;&gt;"Supported",AND(F245="Supported",D245&lt;&gt;"",E245&lt;&gt;""))),"Yes","No"))</f>
        <v/>
      </c>
    </row>
    <row r="246" spans="11:11">
      <c r="K246" s="11">
        <f>IF(OR(A246="",C246=""),"",IF(AND(COUNTIF(Responses!$A$6:$A$205,A246)=1,B246&lt;&gt;"",COUNTIFS($A$6:$A$2005,A246,$B$6:$B$2005,B246)=1,OR(F246="Supported",F246="Unsupported",F246="Contradicted"),OR(G246="Supported",G246="Wrong citation",G246="Missing citation"),OR(H246="Yes",H246="No"),I246&lt;&gt;"",OR(F246&lt;&gt;"Supported",E246&lt;&gt;""),OR(G246&lt;&gt;"Supported",AND(F246="Supported",D246&lt;&gt;"",E246&lt;&gt;""))),"Yes","No"))</f>
        <v/>
      </c>
    </row>
    <row r="247" spans="11:11">
      <c r="K247" s="11">
        <f>IF(OR(A247="",C247=""),"",IF(AND(COUNTIF(Responses!$A$6:$A$205,A247)=1,B247&lt;&gt;"",COUNTIFS($A$6:$A$2005,A247,$B$6:$B$2005,B247)=1,OR(F247="Supported",F247="Unsupported",F247="Contradicted"),OR(G247="Supported",G247="Wrong citation",G247="Missing citation"),OR(H247="Yes",H247="No"),I247&lt;&gt;"",OR(F247&lt;&gt;"Supported",E247&lt;&gt;""),OR(G247&lt;&gt;"Supported",AND(F247="Supported",D247&lt;&gt;"",E247&lt;&gt;""))),"Yes","No"))</f>
        <v/>
      </c>
    </row>
    <row r="248" spans="11:11">
      <c r="K248" s="11">
        <f>IF(OR(A248="",C248=""),"",IF(AND(COUNTIF(Responses!$A$6:$A$205,A248)=1,B248&lt;&gt;"",COUNTIFS($A$6:$A$2005,A248,$B$6:$B$2005,B248)=1,OR(F248="Supported",F248="Unsupported",F248="Contradicted"),OR(G248="Supported",G248="Wrong citation",G248="Missing citation"),OR(H248="Yes",H248="No"),I248&lt;&gt;"",OR(F248&lt;&gt;"Supported",E248&lt;&gt;""),OR(G248&lt;&gt;"Supported",AND(F248="Supported",D248&lt;&gt;"",E248&lt;&gt;""))),"Yes","No"))</f>
        <v/>
      </c>
    </row>
    <row r="249" spans="11:11">
      <c r="K249" s="11">
        <f>IF(OR(A249="",C249=""),"",IF(AND(COUNTIF(Responses!$A$6:$A$205,A249)=1,B249&lt;&gt;"",COUNTIFS($A$6:$A$2005,A249,$B$6:$B$2005,B249)=1,OR(F249="Supported",F249="Unsupported",F249="Contradicted"),OR(G249="Supported",G249="Wrong citation",G249="Missing citation"),OR(H249="Yes",H249="No"),I249&lt;&gt;"",OR(F249&lt;&gt;"Supported",E249&lt;&gt;""),OR(G249&lt;&gt;"Supported",AND(F249="Supported",D249&lt;&gt;"",E249&lt;&gt;""))),"Yes","No"))</f>
        <v/>
      </c>
    </row>
    <row r="250" spans="11:11">
      <c r="K250" s="11">
        <f>IF(OR(A250="",C250=""),"",IF(AND(COUNTIF(Responses!$A$6:$A$205,A250)=1,B250&lt;&gt;"",COUNTIFS($A$6:$A$2005,A250,$B$6:$B$2005,B250)=1,OR(F250="Supported",F250="Unsupported",F250="Contradicted"),OR(G250="Supported",G250="Wrong citation",G250="Missing citation"),OR(H250="Yes",H250="No"),I250&lt;&gt;"",OR(F250&lt;&gt;"Supported",E250&lt;&gt;""),OR(G250&lt;&gt;"Supported",AND(F250="Supported",D250&lt;&gt;"",E250&lt;&gt;""))),"Yes","No"))</f>
        <v/>
      </c>
    </row>
    <row r="251" spans="11:11">
      <c r="K251" s="11">
        <f>IF(OR(A251="",C251=""),"",IF(AND(COUNTIF(Responses!$A$6:$A$205,A251)=1,B251&lt;&gt;"",COUNTIFS($A$6:$A$2005,A251,$B$6:$B$2005,B251)=1,OR(F251="Supported",F251="Unsupported",F251="Contradicted"),OR(G251="Supported",G251="Wrong citation",G251="Missing citation"),OR(H251="Yes",H251="No"),I251&lt;&gt;"",OR(F251&lt;&gt;"Supported",E251&lt;&gt;""),OR(G251&lt;&gt;"Supported",AND(F251="Supported",D251&lt;&gt;"",E251&lt;&gt;""))),"Yes","No"))</f>
        <v/>
      </c>
    </row>
    <row r="252" spans="11:11">
      <c r="K252" s="11">
        <f>IF(OR(A252="",C252=""),"",IF(AND(COUNTIF(Responses!$A$6:$A$205,A252)=1,B252&lt;&gt;"",COUNTIFS($A$6:$A$2005,A252,$B$6:$B$2005,B252)=1,OR(F252="Supported",F252="Unsupported",F252="Contradicted"),OR(G252="Supported",G252="Wrong citation",G252="Missing citation"),OR(H252="Yes",H252="No"),I252&lt;&gt;"",OR(F252&lt;&gt;"Supported",E252&lt;&gt;""),OR(G252&lt;&gt;"Supported",AND(F252="Supported",D252&lt;&gt;"",E252&lt;&gt;""))),"Yes","No"))</f>
        <v/>
      </c>
    </row>
    <row r="253" spans="11:11">
      <c r="K253" s="11">
        <f>IF(OR(A253="",C253=""),"",IF(AND(COUNTIF(Responses!$A$6:$A$205,A253)=1,B253&lt;&gt;"",COUNTIFS($A$6:$A$2005,A253,$B$6:$B$2005,B253)=1,OR(F253="Supported",F253="Unsupported",F253="Contradicted"),OR(G253="Supported",G253="Wrong citation",G253="Missing citation"),OR(H253="Yes",H253="No"),I253&lt;&gt;"",OR(F253&lt;&gt;"Supported",E253&lt;&gt;""),OR(G253&lt;&gt;"Supported",AND(F253="Supported",D253&lt;&gt;"",E253&lt;&gt;""))),"Yes","No"))</f>
        <v/>
      </c>
    </row>
    <row r="254" spans="11:11">
      <c r="K254" s="11">
        <f>IF(OR(A254="",C254=""),"",IF(AND(COUNTIF(Responses!$A$6:$A$205,A254)=1,B254&lt;&gt;"",COUNTIFS($A$6:$A$2005,A254,$B$6:$B$2005,B254)=1,OR(F254="Supported",F254="Unsupported",F254="Contradicted"),OR(G254="Supported",G254="Wrong citation",G254="Missing citation"),OR(H254="Yes",H254="No"),I254&lt;&gt;"",OR(F254&lt;&gt;"Supported",E254&lt;&gt;""),OR(G254&lt;&gt;"Supported",AND(F254="Supported",D254&lt;&gt;"",E254&lt;&gt;""))),"Yes","No"))</f>
        <v/>
      </c>
    </row>
    <row r="255" spans="11:11">
      <c r="K255" s="11">
        <f>IF(OR(A255="",C255=""),"",IF(AND(COUNTIF(Responses!$A$6:$A$205,A255)=1,B255&lt;&gt;"",COUNTIFS($A$6:$A$2005,A255,$B$6:$B$2005,B255)=1,OR(F255="Supported",F255="Unsupported",F255="Contradicted"),OR(G255="Supported",G255="Wrong citation",G255="Missing citation"),OR(H255="Yes",H255="No"),I255&lt;&gt;"",OR(F255&lt;&gt;"Supported",E255&lt;&gt;""),OR(G255&lt;&gt;"Supported",AND(F255="Supported",D255&lt;&gt;"",E255&lt;&gt;""))),"Yes","No"))</f>
        <v/>
      </c>
    </row>
    <row r="256" spans="11:11">
      <c r="K256" s="11">
        <f>IF(OR(A256="",C256=""),"",IF(AND(COUNTIF(Responses!$A$6:$A$205,A256)=1,B256&lt;&gt;"",COUNTIFS($A$6:$A$2005,A256,$B$6:$B$2005,B256)=1,OR(F256="Supported",F256="Unsupported",F256="Contradicted"),OR(G256="Supported",G256="Wrong citation",G256="Missing citation"),OR(H256="Yes",H256="No"),I256&lt;&gt;"",OR(F256&lt;&gt;"Supported",E256&lt;&gt;""),OR(G256&lt;&gt;"Supported",AND(F256="Supported",D256&lt;&gt;"",E256&lt;&gt;""))),"Yes","No"))</f>
        <v/>
      </c>
    </row>
    <row r="257" spans="11:11">
      <c r="K257" s="11">
        <f>IF(OR(A257="",C257=""),"",IF(AND(COUNTIF(Responses!$A$6:$A$205,A257)=1,B257&lt;&gt;"",COUNTIFS($A$6:$A$2005,A257,$B$6:$B$2005,B257)=1,OR(F257="Supported",F257="Unsupported",F257="Contradicted"),OR(G257="Supported",G257="Wrong citation",G257="Missing citation"),OR(H257="Yes",H257="No"),I257&lt;&gt;"",OR(F257&lt;&gt;"Supported",E257&lt;&gt;""),OR(G257&lt;&gt;"Supported",AND(F257="Supported",D257&lt;&gt;"",E257&lt;&gt;""))),"Yes","No"))</f>
        <v/>
      </c>
    </row>
    <row r="258" spans="11:11">
      <c r="K258" s="11">
        <f>IF(OR(A258="",C258=""),"",IF(AND(COUNTIF(Responses!$A$6:$A$205,A258)=1,B258&lt;&gt;"",COUNTIFS($A$6:$A$2005,A258,$B$6:$B$2005,B258)=1,OR(F258="Supported",F258="Unsupported",F258="Contradicted"),OR(G258="Supported",G258="Wrong citation",G258="Missing citation"),OR(H258="Yes",H258="No"),I258&lt;&gt;"",OR(F258&lt;&gt;"Supported",E258&lt;&gt;""),OR(G258&lt;&gt;"Supported",AND(F258="Supported",D258&lt;&gt;"",E258&lt;&gt;""))),"Yes","No"))</f>
        <v/>
      </c>
    </row>
    <row r="259" spans="11:11">
      <c r="K259" s="11">
        <f>IF(OR(A259="",C259=""),"",IF(AND(COUNTIF(Responses!$A$6:$A$205,A259)=1,B259&lt;&gt;"",COUNTIFS($A$6:$A$2005,A259,$B$6:$B$2005,B259)=1,OR(F259="Supported",F259="Unsupported",F259="Contradicted"),OR(G259="Supported",G259="Wrong citation",G259="Missing citation"),OR(H259="Yes",H259="No"),I259&lt;&gt;"",OR(F259&lt;&gt;"Supported",E259&lt;&gt;""),OR(G259&lt;&gt;"Supported",AND(F259="Supported",D259&lt;&gt;"",E259&lt;&gt;""))),"Yes","No"))</f>
        <v/>
      </c>
    </row>
    <row r="260" spans="11:11">
      <c r="K260" s="11">
        <f>IF(OR(A260="",C260=""),"",IF(AND(COUNTIF(Responses!$A$6:$A$205,A260)=1,B260&lt;&gt;"",COUNTIFS($A$6:$A$2005,A260,$B$6:$B$2005,B260)=1,OR(F260="Supported",F260="Unsupported",F260="Contradicted"),OR(G260="Supported",G260="Wrong citation",G260="Missing citation"),OR(H260="Yes",H260="No"),I260&lt;&gt;"",OR(F260&lt;&gt;"Supported",E260&lt;&gt;""),OR(G260&lt;&gt;"Supported",AND(F260="Supported",D260&lt;&gt;"",E260&lt;&gt;""))),"Yes","No"))</f>
        <v/>
      </c>
    </row>
    <row r="261" spans="11:11">
      <c r="K261" s="11">
        <f>IF(OR(A261="",C261=""),"",IF(AND(COUNTIF(Responses!$A$6:$A$205,A261)=1,B261&lt;&gt;"",COUNTIFS($A$6:$A$2005,A261,$B$6:$B$2005,B261)=1,OR(F261="Supported",F261="Unsupported",F261="Contradicted"),OR(G261="Supported",G261="Wrong citation",G261="Missing citation"),OR(H261="Yes",H261="No"),I261&lt;&gt;"",OR(F261&lt;&gt;"Supported",E261&lt;&gt;""),OR(G261&lt;&gt;"Supported",AND(F261="Supported",D261&lt;&gt;"",E261&lt;&gt;""))),"Yes","No"))</f>
        <v/>
      </c>
    </row>
    <row r="262" spans="11:11">
      <c r="K262" s="11">
        <f>IF(OR(A262="",C262=""),"",IF(AND(COUNTIF(Responses!$A$6:$A$205,A262)=1,B262&lt;&gt;"",COUNTIFS($A$6:$A$2005,A262,$B$6:$B$2005,B262)=1,OR(F262="Supported",F262="Unsupported",F262="Contradicted"),OR(G262="Supported",G262="Wrong citation",G262="Missing citation"),OR(H262="Yes",H262="No"),I262&lt;&gt;"",OR(F262&lt;&gt;"Supported",E262&lt;&gt;""),OR(G262&lt;&gt;"Supported",AND(F262="Supported",D262&lt;&gt;"",E262&lt;&gt;""))),"Yes","No"))</f>
        <v/>
      </c>
    </row>
    <row r="263" spans="11:11">
      <c r="K263" s="11">
        <f>IF(OR(A263="",C263=""),"",IF(AND(COUNTIF(Responses!$A$6:$A$205,A263)=1,B263&lt;&gt;"",COUNTIFS($A$6:$A$2005,A263,$B$6:$B$2005,B263)=1,OR(F263="Supported",F263="Unsupported",F263="Contradicted"),OR(G263="Supported",G263="Wrong citation",G263="Missing citation"),OR(H263="Yes",H263="No"),I263&lt;&gt;"",OR(F263&lt;&gt;"Supported",E263&lt;&gt;""),OR(G263&lt;&gt;"Supported",AND(F263="Supported",D263&lt;&gt;"",E263&lt;&gt;""))),"Yes","No"))</f>
        <v/>
      </c>
    </row>
    <row r="264" spans="11:11">
      <c r="K264" s="11">
        <f>IF(OR(A264="",C264=""),"",IF(AND(COUNTIF(Responses!$A$6:$A$205,A264)=1,B264&lt;&gt;"",COUNTIFS($A$6:$A$2005,A264,$B$6:$B$2005,B264)=1,OR(F264="Supported",F264="Unsupported",F264="Contradicted"),OR(G264="Supported",G264="Wrong citation",G264="Missing citation"),OR(H264="Yes",H264="No"),I264&lt;&gt;"",OR(F264&lt;&gt;"Supported",E264&lt;&gt;""),OR(G264&lt;&gt;"Supported",AND(F264="Supported",D264&lt;&gt;"",E264&lt;&gt;""))),"Yes","No"))</f>
        <v/>
      </c>
    </row>
    <row r="265" spans="11:11">
      <c r="K265" s="11">
        <f>IF(OR(A265="",C265=""),"",IF(AND(COUNTIF(Responses!$A$6:$A$205,A265)=1,B265&lt;&gt;"",COUNTIFS($A$6:$A$2005,A265,$B$6:$B$2005,B265)=1,OR(F265="Supported",F265="Unsupported",F265="Contradicted"),OR(G265="Supported",G265="Wrong citation",G265="Missing citation"),OR(H265="Yes",H265="No"),I265&lt;&gt;"",OR(F265&lt;&gt;"Supported",E265&lt;&gt;""),OR(G265&lt;&gt;"Supported",AND(F265="Supported",D265&lt;&gt;"",E265&lt;&gt;""))),"Yes","No"))</f>
        <v/>
      </c>
    </row>
    <row r="266" spans="11:11">
      <c r="K266" s="11">
        <f>IF(OR(A266="",C266=""),"",IF(AND(COUNTIF(Responses!$A$6:$A$205,A266)=1,B266&lt;&gt;"",COUNTIFS($A$6:$A$2005,A266,$B$6:$B$2005,B266)=1,OR(F266="Supported",F266="Unsupported",F266="Contradicted"),OR(G266="Supported",G266="Wrong citation",G266="Missing citation"),OR(H266="Yes",H266="No"),I266&lt;&gt;"",OR(F266&lt;&gt;"Supported",E266&lt;&gt;""),OR(G266&lt;&gt;"Supported",AND(F266="Supported",D266&lt;&gt;"",E266&lt;&gt;""))),"Yes","No"))</f>
        <v/>
      </c>
    </row>
    <row r="267" spans="11:11">
      <c r="K267" s="11">
        <f>IF(OR(A267="",C267=""),"",IF(AND(COUNTIF(Responses!$A$6:$A$205,A267)=1,B267&lt;&gt;"",COUNTIFS($A$6:$A$2005,A267,$B$6:$B$2005,B267)=1,OR(F267="Supported",F267="Unsupported",F267="Contradicted"),OR(G267="Supported",G267="Wrong citation",G267="Missing citation"),OR(H267="Yes",H267="No"),I267&lt;&gt;"",OR(F267&lt;&gt;"Supported",E267&lt;&gt;""),OR(G267&lt;&gt;"Supported",AND(F267="Supported",D267&lt;&gt;"",E267&lt;&gt;""))),"Yes","No"))</f>
        <v/>
      </c>
    </row>
    <row r="268" spans="11:11">
      <c r="K268" s="11">
        <f>IF(OR(A268="",C268=""),"",IF(AND(COUNTIF(Responses!$A$6:$A$205,A268)=1,B268&lt;&gt;"",COUNTIFS($A$6:$A$2005,A268,$B$6:$B$2005,B268)=1,OR(F268="Supported",F268="Unsupported",F268="Contradicted"),OR(G268="Supported",G268="Wrong citation",G268="Missing citation"),OR(H268="Yes",H268="No"),I268&lt;&gt;"",OR(F268&lt;&gt;"Supported",E268&lt;&gt;""),OR(G268&lt;&gt;"Supported",AND(F268="Supported",D268&lt;&gt;"",E268&lt;&gt;""))),"Yes","No"))</f>
        <v/>
      </c>
    </row>
    <row r="269" spans="11:11">
      <c r="K269" s="11">
        <f>IF(OR(A269="",C269=""),"",IF(AND(COUNTIF(Responses!$A$6:$A$205,A269)=1,B269&lt;&gt;"",COUNTIFS($A$6:$A$2005,A269,$B$6:$B$2005,B269)=1,OR(F269="Supported",F269="Unsupported",F269="Contradicted"),OR(G269="Supported",G269="Wrong citation",G269="Missing citation"),OR(H269="Yes",H269="No"),I269&lt;&gt;"",OR(F269&lt;&gt;"Supported",E269&lt;&gt;""),OR(G269&lt;&gt;"Supported",AND(F269="Supported",D269&lt;&gt;"",E269&lt;&gt;""))),"Yes","No"))</f>
        <v/>
      </c>
    </row>
    <row r="270" spans="11:11">
      <c r="K270" s="11">
        <f>IF(OR(A270="",C270=""),"",IF(AND(COUNTIF(Responses!$A$6:$A$205,A270)=1,B270&lt;&gt;"",COUNTIFS($A$6:$A$2005,A270,$B$6:$B$2005,B270)=1,OR(F270="Supported",F270="Unsupported",F270="Contradicted"),OR(G270="Supported",G270="Wrong citation",G270="Missing citation"),OR(H270="Yes",H270="No"),I270&lt;&gt;"",OR(F270&lt;&gt;"Supported",E270&lt;&gt;""),OR(G270&lt;&gt;"Supported",AND(F270="Supported",D270&lt;&gt;"",E270&lt;&gt;""))),"Yes","No"))</f>
        <v/>
      </c>
    </row>
    <row r="271" spans="11:11">
      <c r="K271" s="11">
        <f>IF(OR(A271="",C271=""),"",IF(AND(COUNTIF(Responses!$A$6:$A$205,A271)=1,B271&lt;&gt;"",COUNTIFS($A$6:$A$2005,A271,$B$6:$B$2005,B271)=1,OR(F271="Supported",F271="Unsupported",F271="Contradicted"),OR(G271="Supported",G271="Wrong citation",G271="Missing citation"),OR(H271="Yes",H271="No"),I271&lt;&gt;"",OR(F271&lt;&gt;"Supported",E271&lt;&gt;""),OR(G271&lt;&gt;"Supported",AND(F271="Supported",D271&lt;&gt;"",E271&lt;&gt;""))),"Yes","No"))</f>
        <v/>
      </c>
    </row>
    <row r="272" spans="11:11">
      <c r="K272" s="11">
        <f>IF(OR(A272="",C272=""),"",IF(AND(COUNTIF(Responses!$A$6:$A$205,A272)=1,B272&lt;&gt;"",COUNTIFS($A$6:$A$2005,A272,$B$6:$B$2005,B272)=1,OR(F272="Supported",F272="Unsupported",F272="Contradicted"),OR(G272="Supported",G272="Wrong citation",G272="Missing citation"),OR(H272="Yes",H272="No"),I272&lt;&gt;"",OR(F272&lt;&gt;"Supported",E272&lt;&gt;""),OR(G272&lt;&gt;"Supported",AND(F272="Supported",D272&lt;&gt;"",E272&lt;&gt;""))),"Yes","No"))</f>
        <v/>
      </c>
    </row>
    <row r="273" spans="11:11">
      <c r="K273" s="11">
        <f>IF(OR(A273="",C273=""),"",IF(AND(COUNTIF(Responses!$A$6:$A$205,A273)=1,B273&lt;&gt;"",COUNTIFS($A$6:$A$2005,A273,$B$6:$B$2005,B273)=1,OR(F273="Supported",F273="Unsupported",F273="Contradicted"),OR(G273="Supported",G273="Wrong citation",G273="Missing citation"),OR(H273="Yes",H273="No"),I273&lt;&gt;"",OR(F273&lt;&gt;"Supported",E273&lt;&gt;""),OR(G273&lt;&gt;"Supported",AND(F273="Supported",D273&lt;&gt;"",E273&lt;&gt;""))),"Yes","No"))</f>
        <v/>
      </c>
    </row>
    <row r="274" spans="11:11">
      <c r="K274" s="11">
        <f>IF(OR(A274="",C274=""),"",IF(AND(COUNTIF(Responses!$A$6:$A$205,A274)=1,B274&lt;&gt;"",COUNTIFS($A$6:$A$2005,A274,$B$6:$B$2005,B274)=1,OR(F274="Supported",F274="Unsupported",F274="Contradicted"),OR(G274="Supported",G274="Wrong citation",G274="Missing citation"),OR(H274="Yes",H274="No"),I274&lt;&gt;"",OR(F274&lt;&gt;"Supported",E274&lt;&gt;""),OR(G274&lt;&gt;"Supported",AND(F274="Supported",D274&lt;&gt;"",E274&lt;&gt;""))),"Yes","No"))</f>
        <v/>
      </c>
    </row>
    <row r="275" spans="11:11">
      <c r="K275" s="11">
        <f>IF(OR(A275="",C275=""),"",IF(AND(COUNTIF(Responses!$A$6:$A$205,A275)=1,B275&lt;&gt;"",COUNTIFS($A$6:$A$2005,A275,$B$6:$B$2005,B275)=1,OR(F275="Supported",F275="Unsupported",F275="Contradicted"),OR(G275="Supported",G275="Wrong citation",G275="Missing citation"),OR(H275="Yes",H275="No"),I275&lt;&gt;"",OR(F275&lt;&gt;"Supported",E275&lt;&gt;""),OR(G275&lt;&gt;"Supported",AND(F275="Supported",D275&lt;&gt;"",E275&lt;&gt;""))),"Yes","No"))</f>
        <v/>
      </c>
    </row>
    <row r="276" spans="11:11">
      <c r="K276" s="11">
        <f>IF(OR(A276="",C276=""),"",IF(AND(COUNTIF(Responses!$A$6:$A$205,A276)=1,B276&lt;&gt;"",COUNTIFS($A$6:$A$2005,A276,$B$6:$B$2005,B276)=1,OR(F276="Supported",F276="Unsupported",F276="Contradicted"),OR(G276="Supported",G276="Wrong citation",G276="Missing citation"),OR(H276="Yes",H276="No"),I276&lt;&gt;"",OR(F276&lt;&gt;"Supported",E276&lt;&gt;""),OR(G276&lt;&gt;"Supported",AND(F276="Supported",D276&lt;&gt;"",E276&lt;&gt;""))),"Yes","No"))</f>
        <v/>
      </c>
    </row>
    <row r="277" spans="11:11">
      <c r="K277" s="11">
        <f>IF(OR(A277="",C277=""),"",IF(AND(COUNTIF(Responses!$A$6:$A$205,A277)=1,B277&lt;&gt;"",COUNTIFS($A$6:$A$2005,A277,$B$6:$B$2005,B277)=1,OR(F277="Supported",F277="Unsupported",F277="Contradicted"),OR(G277="Supported",G277="Wrong citation",G277="Missing citation"),OR(H277="Yes",H277="No"),I277&lt;&gt;"",OR(F277&lt;&gt;"Supported",E277&lt;&gt;""),OR(G277&lt;&gt;"Supported",AND(F277="Supported",D277&lt;&gt;"",E277&lt;&gt;""))),"Yes","No"))</f>
        <v/>
      </c>
    </row>
    <row r="278" spans="11:11">
      <c r="K278" s="11">
        <f>IF(OR(A278="",C278=""),"",IF(AND(COUNTIF(Responses!$A$6:$A$205,A278)=1,B278&lt;&gt;"",COUNTIFS($A$6:$A$2005,A278,$B$6:$B$2005,B278)=1,OR(F278="Supported",F278="Unsupported",F278="Contradicted"),OR(G278="Supported",G278="Wrong citation",G278="Missing citation"),OR(H278="Yes",H278="No"),I278&lt;&gt;"",OR(F278&lt;&gt;"Supported",E278&lt;&gt;""),OR(G278&lt;&gt;"Supported",AND(F278="Supported",D278&lt;&gt;"",E278&lt;&gt;""))),"Yes","No"))</f>
        <v/>
      </c>
    </row>
    <row r="279" spans="11:11">
      <c r="K279" s="11">
        <f>IF(OR(A279="",C279=""),"",IF(AND(COUNTIF(Responses!$A$6:$A$205,A279)=1,B279&lt;&gt;"",COUNTIFS($A$6:$A$2005,A279,$B$6:$B$2005,B279)=1,OR(F279="Supported",F279="Unsupported",F279="Contradicted"),OR(G279="Supported",G279="Wrong citation",G279="Missing citation"),OR(H279="Yes",H279="No"),I279&lt;&gt;"",OR(F279&lt;&gt;"Supported",E279&lt;&gt;""),OR(G279&lt;&gt;"Supported",AND(F279="Supported",D279&lt;&gt;"",E279&lt;&gt;""))),"Yes","No"))</f>
        <v/>
      </c>
    </row>
    <row r="280" spans="11:11">
      <c r="K280" s="11">
        <f>IF(OR(A280="",C280=""),"",IF(AND(COUNTIF(Responses!$A$6:$A$205,A280)=1,B280&lt;&gt;"",COUNTIFS($A$6:$A$2005,A280,$B$6:$B$2005,B280)=1,OR(F280="Supported",F280="Unsupported",F280="Contradicted"),OR(G280="Supported",G280="Wrong citation",G280="Missing citation"),OR(H280="Yes",H280="No"),I280&lt;&gt;"",OR(F280&lt;&gt;"Supported",E280&lt;&gt;""),OR(G280&lt;&gt;"Supported",AND(F280="Supported",D280&lt;&gt;"",E280&lt;&gt;""))),"Yes","No"))</f>
        <v/>
      </c>
    </row>
    <row r="281" spans="11:11">
      <c r="K281" s="11">
        <f>IF(OR(A281="",C281=""),"",IF(AND(COUNTIF(Responses!$A$6:$A$205,A281)=1,B281&lt;&gt;"",COUNTIFS($A$6:$A$2005,A281,$B$6:$B$2005,B281)=1,OR(F281="Supported",F281="Unsupported",F281="Contradicted"),OR(G281="Supported",G281="Wrong citation",G281="Missing citation"),OR(H281="Yes",H281="No"),I281&lt;&gt;"",OR(F281&lt;&gt;"Supported",E281&lt;&gt;""),OR(G281&lt;&gt;"Supported",AND(F281="Supported",D281&lt;&gt;"",E281&lt;&gt;""))),"Yes","No"))</f>
        <v/>
      </c>
    </row>
    <row r="282" spans="11:11">
      <c r="K282" s="11">
        <f>IF(OR(A282="",C282=""),"",IF(AND(COUNTIF(Responses!$A$6:$A$205,A282)=1,B282&lt;&gt;"",COUNTIFS($A$6:$A$2005,A282,$B$6:$B$2005,B282)=1,OR(F282="Supported",F282="Unsupported",F282="Contradicted"),OR(G282="Supported",G282="Wrong citation",G282="Missing citation"),OR(H282="Yes",H282="No"),I282&lt;&gt;"",OR(F282&lt;&gt;"Supported",E282&lt;&gt;""),OR(G282&lt;&gt;"Supported",AND(F282="Supported",D282&lt;&gt;"",E282&lt;&gt;""))),"Yes","No"))</f>
        <v/>
      </c>
    </row>
    <row r="283" spans="11:11">
      <c r="K283" s="11">
        <f>IF(OR(A283="",C283=""),"",IF(AND(COUNTIF(Responses!$A$6:$A$205,A283)=1,B283&lt;&gt;"",COUNTIFS($A$6:$A$2005,A283,$B$6:$B$2005,B283)=1,OR(F283="Supported",F283="Unsupported",F283="Contradicted"),OR(G283="Supported",G283="Wrong citation",G283="Missing citation"),OR(H283="Yes",H283="No"),I283&lt;&gt;"",OR(F283&lt;&gt;"Supported",E283&lt;&gt;""),OR(G283&lt;&gt;"Supported",AND(F283="Supported",D283&lt;&gt;"",E283&lt;&gt;""))),"Yes","No"))</f>
        <v/>
      </c>
    </row>
    <row r="284" spans="11:11">
      <c r="K284" s="11">
        <f>IF(OR(A284="",C284=""),"",IF(AND(COUNTIF(Responses!$A$6:$A$205,A284)=1,B284&lt;&gt;"",COUNTIFS($A$6:$A$2005,A284,$B$6:$B$2005,B284)=1,OR(F284="Supported",F284="Unsupported",F284="Contradicted"),OR(G284="Supported",G284="Wrong citation",G284="Missing citation"),OR(H284="Yes",H284="No"),I284&lt;&gt;"",OR(F284&lt;&gt;"Supported",E284&lt;&gt;""),OR(G284&lt;&gt;"Supported",AND(F284="Supported",D284&lt;&gt;"",E284&lt;&gt;""))),"Yes","No"))</f>
        <v/>
      </c>
    </row>
    <row r="285" spans="11:11">
      <c r="K285" s="11">
        <f>IF(OR(A285="",C285=""),"",IF(AND(COUNTIF(Responses!$A$6:$A$205,A285)=1,B285&lt;&gt;"",COUNTIFS($A$6:$A$2005,A285,$B$6:$B$2005,B285)=1,OR(F285="Supported",F285="Unsupported",F285="Contradicted"),OR(G285="Supported",G285="Wrong citation",G285="Missing citation"),OR(H285="Yes",H285="No"),I285&lt;&gt;"",OR(F285&lt;&gt;"Supported",E285&lt;&gt;""),OR(G285&lt;&gt;"Supported",AND(F285="Supported",D285&lt;&gt;"",E285&lt;&gt;""))),"Yes","No"))</f>
        <v/>
      </c>
    </row>
    <row r="286" spans="11:11">
      <c r="K286" s="11">
        <f>IF(OR(A286="",C286=""),"",IF(AND(COUNTIF(Responses!$A$6:$A$205,A286)=1,B286&lt;&gt;"",COUNTIFS($A$6:$A$2005,A286,$B$6:$B$2005,B286)=1,OR(F286="Supported",F286="Unsupported",F286="Contradicted"),OR(G286="Supported",G286="Wrong citation",G286="Missing citation"),OR(H286="Yes",H286="No"),I286&lt;&gt;"",OR(F286&lt;&gt;"Supported",E286&lt;&gt;""),OR(G286&lt;&gt;"Supported",AND(F286="Supported",D286&lt;&gt;"",E286&lt;&gt;""))),"Yes","No"))</f>
        <v/>
      </c>
    </row>
    <row r="287" spans="11:11">
      <c r="K287" s="11">
        <f>IF(OR(A287="",C287=""),"",IF(AND(COUNTIF(Responses!$A$6:$A$205,A287)=1,B287&lt;&gt;"",COUNTIFS($A$6:$A$2005,A287,$B$6:$B$2005,B287)=1,OR(F287="Supported",F287="Unsupported",F287="Contradicted"),OR(G287="Supported",G287="Wrong citation",G287="Missing citation"),OR(H287="Yes",H287="No"),I287&lt;&gt;"",OR(F287&lt;&gt;"Supported",E287&lt;&gt;""),OR(G287&lt;&gt;"Supported",AND(F287="Supported",D287&lt;&gt;"",E287&lt;&gt;""))),"Yes","No"))</f>
        <v/>
      </c>
    </row>
    <row r="288" spans="11:11">
      <c r="K288" s="11">
        <f>IF(OR(A288="",C288=""),"",IF(AND(COUNTIF(Responses!$A$6:$A$205,A288)=1,B288&lt;&gt;"",COUNTIFS($A$6:$A$2005,A288,$B$6:$B$2005,B288)=1,OR(F288="Supported",F288="Unsupported",F288="Contradicted"),OR(G288="Supported",G288="Wrong citation",G288="Missing citation"),OR(H288="Yes",H288="No"),I288&lt;&gt;"",OR(F288&lt;&gt;"Supported",E288&lt;&gt;""),OR(G288&lt;&gt;"Supported",AND(F288="Supported",D288&lt;&gt;"",E288&lt;&gt;""))),"Yes","No"))</f>
        <v/>
      </c>
    </row>
    <row r="289" spans="11:11">
      <c r="K289" s="11">
        <f>IF(OR(A289="",C289=""),"",IF(AND(COUNTIF(Responses!$A$6:$A$205,A289)=1,B289&lt;&gt;"",COUNTIFS($A$6:$A$2005,A289,$B$6:$B$2005,B289)=1,OR(F289="Supported",F289="Unsupported",F289="Contradicted"),OR(G289="Supported",G289="Wrong citation",G289="Missing citation"),OR(H289="Yes",H289="No"),I289&lt;&gt;"",OR(F289&lt;&gt;"Supported",E289&lt;&gt;""),OR(G289&lt;&gt;"Supported",AND(F289="Supported",D289&lt;&gt;"",E289&lt;&gt;""))),"Yes","No"))</f>
        <v/>
      </c>
    </row>
    <row r="290" spans="11:11">
      <c r="K290" s="11">
        <f>IF(OR(A290="",C290=""),"",IF(AND(COUNTIF(Responses!$A$6:$A$205,A290)=1,B290&lt;&gt;"",COUNTIFS($A$6:$A$2005,A290,$B$6:$B$2005,B290)=1,OR(F290="Supported",F290="Unsupported",F290="Contradicted"),OR(G290="Supported",G290="Wrong citation",G290="Missing citation"),OR(H290="Yes",H290="No"),I290&lt;&gt;"",OR(F290&lt;&gt;"Supported",E290&lt;&gt;""),OR(G290&lt;&gt;"Supported",AND(F290="Supported",D290&lt;&gt;"",E290&lt;&gt;""))),"Yes","No"))</f>
        <v/>
      </c>
    </row>
    <row r="291" spans="11:11">
      <c r="K291" s="11">
        <f>IF(OR(A291="",C291=""),"",IF(AND(COUNTIF(Responses!$A$6:$A$205,A291)=1,B291&lt;&gt;"",COUNTIFS($A$6:$A$2005,A291,$B$6:$B$2005,B291)=1,OR(F291="Supported",F291="Unsupported",F291="Contradicted"),OR(G291="Supported",G291="Wrong citation",G291="Missing citation"),OR(H291="Yes",H291="No"),I291&lt;&gt;"",OR(F291&lt;&gt;"Supported",E291&lt;&gt;""),OR(G291&lt;&gt;"Supported",AND(F291="Supported",D291&lt;&gt;"",E291&lt;&gt;""))),"Yes","No"))</f>
        <v/>
      </c>
    </row>
    <row r="292" spans="11:11">
      <c r="K292" s="11">
        <f>IF(OR(A292="",C292=""),"",IF(AND(COUNTIF(Responses!$A$6:$A$205,A292)=1,B292&lt;&gt;"",COUNTIFS($A$6:$A$2005,A292,$B$6:$B$2005,B292)=1,OR(F292="Supported",F292="Unsupported",F292="Contradicted"),OR(G292="Supported",G292="Wrong citation",G292="Missing citation"),OR(H292="Yes",H292="No"),I292&lt;&gt;"",OR(F292&lt;&gt;"Supported",E292&lt;&gt;""),OR(G292&lt;&gt;"Supported",AND(F292="Supported",D292&lt;&gt;"",E292&lt;&gt;""))),"Yes","No"))</f>
        <v/>
      </c>
    </row>
    <row r="293" spans="11:11">
      <c r="K293" s="11">
        <f>IF(OR(A293="",C293=""),"",IF(AND(COUNTIF(Responses!$A$6:$A$205,A293)=1,B293&lt;&gt;"",COUNTIFS($A$6:$A$2005,A293,$B$6:$B$2005,B293)=1,OR(F293="Supported",F293="Unsupported",F293="Contradicted"),OR(G293="Supported",G293="Wrong citation",G293="Missing citation"),OR(H293="Yes",H293="No"),I293&lt;&gt;"",OR(F293&lt;&gt;"Supported",E293&lt;&gt;""),OR(G293&lt;&gt;"Supported",AND(F293="Supported",D293&lt;&gt;"",E293&lt;&gt;""))),"Yes","No"))</f>
        <v/>
      </c>
    </row>
    <row r="294" spans="11:11">
      <c r="K294" s="11">
        <f>IF(OR(A294="",C294=""),"",IF(AND(COUNTIF(Responses!$A$6:$A$205,A294)=1,B294&lt;&gt;"",COUNTIFS($A$6:$A$2005,A294,$B$6:$B$2005,B294)=1,OR(F294="Supported",F294="Unsupported",F294="Contradicted"),OR(G294="Supported",G294="Wrong citation",G294="Missing citation"),OR(H294="Yes",H294="No"),I294&lt;&gt;"",OR(F294&lt;&gt;"Supported",E294&lt;&gt;""),OR(G294&lt;&gt;"Supported",AND(F294="Supported",D294&lt;&gt;"",E294&lt;&gt;""))),"Yes","No"))</f>
        <v/>
      </c>
    </row>
    <row r="295" spans="11:11">
      <c r="K295" s="11">
        <f>IF(OR(A295="",C295=""),"",IF(AND(COUNTIF(Responses!$A$6:$A$205,A295)=1,B295&lt;&gt;"",COUNTIFS($A$6:$A$2005,A295,$B$6:$B$2005,B295)=1,OR(F295="Supported",F295="Unsupported",F295="Contradicted"),OR(G295="Supported",G295="Wrong citation",G295="Missing citation"),OR(H295="Yes",H295="No"),I295&lt;&gt;"",OR(F295&lt;&gt;"Supported",E295&lt;&gt;""),OR(G295&lt;&gt;"Supported",AND(F295="Supported",D295&lt;&gt;"",E295&lt;&gt;""))),"Yes","No"))</f>
        <v/>
      </c>
    </row>
    <row r="296" spans="11:11">
      <c r="K296" s="11">
        <f>IF(OR(A296="",C296=""),"",IF(AND(COUNTIF(Responses!$A$6:$A$205,A296)=1,B296&lt;&gt;"",COUNTIFS($A$6:$A$2005,A296,$B$6:$B$2005,B296)=1,OR(F296="Supported",F296="Unsupported",F296="Contradicted"),OR(G296="Supported",G296="Wrong citation",G296="Missing citation"),OR(H296="Yes",H296="No"),I296&lt;&gt;"",OR(F296&lt;&gt;"Supported",E296&lt;&gt;""),OR(G296&lt;&gt;"Supported",AND(F296="Supported",D296&lt;&gt;"",E296&lt;&gt;""))),"Yes","No"))</f>
        <v/>
      </c>
    </row>
    <row r="297" spans="11:11">
      <c r="K297" s="11">
        <f>IF(OR(A297="",C297=""),"",IF(AND(COUNTIF(Responses!$A$6:$A$205,A297)=1,B297&lt;&gt;"",COUNTIFS($A$6:$A$2005,A297,$B$6:$B$2005,B297)=1,OR(F297="Supported",F297="Unsupported",F297="Contradicted"),OR(G297="Supported",G297="Wrong citation",G297="Missing citation"),OR(H297="Yes",H297="No"),I297&lt;&gt;"",OR(F297&lt;&gt;"Supported",E297&lt;&gt;""),OR(G297&lt;&gt;"Supported",AND(F297="Supported",D297&lt;&gt;"",E297&lt;&gt;""))),"Yes","No"))</f>
        <v/>
      </c>
    </row>
    <row r="298" spans="11:11">
      <c r="K298" s="11">
        <f>IF(OR(A298="",C298=""),"",IF(AND(COUNTIF(Responses!$A$6:$A$205,A298)=1,B298&lt;&gt;"",COUNTIFS($A$6:$A$2005,A298,$B$6:$B$2005,B298)=1,OR(F298="Supported",F298="Unsupported",F298="Contradicted"),OR(G298="Supported",G298="Wrong citation",G298="Missing citation"),OR(H298="Yes",H298="No"),I298&lt;&gt;"",OR(F298&lt;&gt;"Supported",E298&lt;&gt;""),OR(G298&lt;&gt;"Supported",AND(F298="Supported",D298&lt;&gt;"",E298&lt;&gt;""))),"Yes","No"))</f>
        <v/>
      </c>
    </row>
    <row r="299" spans="11:11">
      <c r="K299" s="11">
        <f>IF(OR(A299="",C299=""),"",IF(AND(COUNTIF(Responses!$A$6:$A$205,A299)=1,B299&lt;&gt;"",COUNTIFS($A$6:$A$2005,A299,$B$6:$B$2005,B299)=1,OR(F299="Supported",F299="Unsupported",F299="Contradicted"),OR(G299="Supported",G299="Wrong citation",G299="Missing citation"),OR(H299="Yes",H299="No"),I299&lt;&gt;"",OR(F299&lt;&gt;"Supported",E299&lt;&gt;""),OR(G299&lt;&gt;"Supported",AND(F299="Supported",D299&lt;&gt;"",E299&lt;&gt;""))),"Yes","No"))</f>
        <v/>
      </c>
    </row>
    <row r="300" spans="11:11">
      <c r="K300" s="11">
        <f>IF(OR(A300="",C300=""),"",IF(AND(COUNTIF(Responses!$A$6:$A$205,A300)=1,B300&lt;&gt;"",COUNTIFS($A$6:$A$2005,A300,$B$6:$B$2005,B300)=1,OR(F300="Supported",F300="Unsupported",F300="Contradicted"),OR(G300="Supported",G300="Wrong citation",G300="Missing citation"),OR(H300="Yes",H300="No"),I300&lt;&gt;"",OR(F300&lt;&gt;"Supported",E300&lt;&gt;""),OR(G300&lt;&gt;"Supported",AND(F300="Supported",D300&lt;&gt;"",E300&lt;&gt;""))),"Yes","No"))</f>
        <v/>
      </c>
    </row>
    <row r="301" spans="11:11">
      <c r="K301" s="11">
        <f>IF(OR(A301="",C301=""),"",IF(AND(COUNTIF(Responses!$A$6:$A$205,A301)=1,B301&lt;&gt;"",COUNTIFS($A$6:$A$2005,A301,$B$6:$B$2005,B301)=1,OR(F301="Supported",F301="Unsupported",F301="Contradicted"),OR(G301="Supported",G301="Wrong citation",G301="Missing citation"),OR(H301="Yes",H301="No"),I301&lt;&gt;"",OR(F301&lt;&gt;"Supported",E301&lt;&gt;""),OR(G301&lt;&gt;"Supported",AND(F301="Supported",D301&lt;&gt;"",E301&lt;&gt;""))),"Yes","No"))</f>
        <v/>
      </c>
    </row>
    <row r="302" spans="11:11">
      <c r="K302" s="11">
        <f>IF(OR(A302="",C302=""),"",IF(AND(COUNTIF(Responses!$A$6:$A$205,A302)=1,B302&lt;&gt;"",COUNTIFS($A$6:$A$2005,A302,$B$6:$B$2005,B302)=1,OR(F302="Supported",F302="Unsupported",F302="Contradicted"),OR(G302="Supported",G302="Wrong citation",G302="Missing citation"),OR(H302="Yes",H302="No"),I302&lt;&gt;"",OR(F302&lt;&gt;"Supported",E302&lt;&gt;""),OR(G302&lt;&gt;"Supported",AND(F302="Supported",D302&lt;&gt;"",E302&lt;&gt;""))),"Yes","No"))</f>
        <v/>
      </c>
    </row>
    <row r="303" spans="11:11">
      <c r="K303" s="11">
        <f>IF(OR(A303="",C303=""),"",IF(AND(COUNTIF(Responses!$A$6:$A$205,A303)=1,B303&lt;&gt;"",COUNTIFS($A$6:$A$2005,A303,$B$6:$B$2005,B303)=1,OR(F303="Supported",F303="Unsupported",F303="Contradicted"),OR(G303="Supported",G303="Wrong citation",G303="Missing citation"),OR(H303="Yes",H303="No"),I303&lt;&gt;"",OR(F303&lt;&gt;"Supported",E303&lt;&gt;""),OR(G303&lt;&gt;"Supported",AND(F303="Supported",D303&lt;&gt;"",E303&lt;&gt;""))),"Yes","No"))</f>
        <v/>
      </c>
    </row>
    <row r="304" spans="11:11">
      <c r="K304" s="11">
        <f>IF(OR(A304="",C304=""),"",IF(AND(COUNTIF(Responses!$A$6:$A$205,A304)=1,B304&lt;&gt;"",COUNTIFS($A$6:$A$2005,A304,$B$6:$B$2005,B304)=1,OR(F304="Supported",F304="Unsupported",F304="Contradicted"),OR(G304="Supported",G304="Wrong citation",G304="Missing citation"),OR(H304="Yes",H304="No"),I304&lt;&gt;"",OR(F304&lt;&gt;"Supported",E304&lt;&gt;""),OR(G304&lt;&gt;"Supported",AND(F304="Supported",D304&lt;&gt;"",E304&lt;&gt;""))),"Yes","No"))</f>
        <v/>
      </c>
    </row>
    <row r="305" spans="11:11">
      <c r="K305" s="11">
        <f>IF(OR(A305="",C305=""),"",IF(AND(COUNTIF(Responses!$A$6:$A$205,A305)=1,B305&lt;&gt;"",COUNTIFS($A$6:$A$2005,A305,$B$6:$B$2005,B305)=1,OR(F305="Supported",F305="Unsupported",F305="Contradicted"),OR(G305="Supported",G305="Wrong citation",G305="Missing citation"),OR(H305="Yes",H305="No"),I305&lt;&gt;"",OR(F305&lt;&gt;"Supported",E305&lt;&gt;""),OR(G305&lt;&gt;"Supported",AND(F305="Supported",D305&lt;&gt;"",E305&lt;&gt;""))),"Yes","No"))</f>
        <v/>
      </c>
    </row>
    <row r="306" spans="11:11">
      <c r="K306" s="11">
        <f>IF(OR(A306="",C306=""),"",IF(AND(COUNTIF(Responses!$A$6:$A$205,A306)=1,B306&lt;&gt;"",COUNTIFS($A$6:$A$2005,A306,$B$6:$B$2005,B306)=1,OR(F306="Supported",F306="Unsupported",F306="Contradicted"),OR(G306="Supported",G306="Wrong citation",G306="Missing citation"),OR(H306="Yes",H306="No"),I306&lt;&gt;"",OR(F306&lt;&gt;"Supported",E306&lt;&gt;""),OR(G306&lt;&gt;"Supported",AND(F306="Supported",D306&lt;&gt;"",E306&lt;&gt;""))),"Yes","No"))</f>
        <v/>
      </c>
    </row>
    <row r="307" spans="11:11">
      <c r="K307" s="11">
        <f>IF(OR(A307="",C307=""),"",IF(AND(COUNTIF(Responses!$A$6:$A$205,A307)=1,B307&lt;&gt;"",COUNTIFS($A$6:$A$2005,A307,$B$6:$B$2005,B307)=1,OR(F307="Supported",F307="Unsupported",F307="Contradicted"),OR(G307="Supported",G307="Wrong citation",G307="Missing citation"),OR(H307="Yes",H307="No"),I307&lt;&gt;"",OR(F307&lt;&gt;"Supported",E307&lt;&gt;""),OR(G307&lt;&gt;"Supported",AND(F307="Supported",D307&lt;&gt;"",E307&lt;&gt;""))),"Yes","No"))</f>
        <v/>
      </c>
    </row>
    <row r="308" spans="11:11">
      <c r="K308" s="11">
        <f>IF(OR(A308="",C308=""),"",IF(AND(COUNTIF(Responses!$A$6:$A$205,A308)=1,B308&lt;&gt;"",COUNTIFS($A$6:$A$2005,A308,$B$6:$B$2005,B308)=1,OR(F308="Supported",F308="Unsupported",F308="Contradicted"),OR(G308="Supported",G308="Wrong citation",G308="Missing citation"),OR(H308="Yes",H308="No"),I308&lt;&gt;"",OR(F308&lt;&gt;"Supported",E308&lt;&gt;""),OR(G308&lt;&gt;"Supported",AND(F308="Supported",D308&lt;&gt;"",E308&lt;&gt;""))),"Yes","No"))</f>
        <v/>
      </c>
    </row>
    <row r="309" spans="11:11">
      <c r="K309" s="11">
        <f>IF(OR(A309="",C309=""),"",IF(AND(COUNTIF(Responses!$A$6:$A$205,A309)=1,B309&lt;&gt;"",COUNTIFS($A$6:$A$2005,A309,$B$6:$B$2005,B309)=1,OR(F309="Supported",F309="Unsupported",F309="Contradicted"),OR(G309="Supported",G309="Wrong citation",G309="Missing citation"),OR(H309="Yes",H309="No"),I309&lt;&gt;"",OR(F309&lt;&gt;"Supported",E309&lt;&gt;""),OR(G309&lt;&gt;"Supported",AND(F309="Supported",D309&lt;&gt;"",E309&lt;&gt;""))),"Yes","No"))</f>
        <v/>
      </c>
    </row>
    <row r="310" spans="11:11">
      <c r="K310" s="11">
        <f>IF(OR(A310="",C310=""),"",IF(AND(COUNTIF(Responses!$A$6:$A$205,A310)=1,B310&lt;&gt;"",COUNTIFS($A$6:$A$2005,A310,$B$6:$B$2005,B310)=1,OR(F310="Supported",F310="Unsupported",F310="Contradicted"),OR(G310="Supported",G310="Wrong citation",G310="Missing citation"),OR(H310="Yes",H310="No"),I310&lt;&gt;"",OR(F310&lt;&gt;"Supported",E310&lt;&gt;""),OR(G310&lt;&gt;"Supported",AND(F310="Supported",D310&lt;&gt;"",E310&lt;&gt;""))),"Yes","No"))</f>
        <v/>
      </c>
    </row>
    <row r="311" spans="11:11">
      <c r="K311" s="11">
        <f>IF(OR(A311="",C311=""),"",IF(AND(COUNTIF(Responses!$A$6:$A$205,A311)=1,B311&lt;&gt;"",COUNTIFS($A$6:$A$2005,A311,$B$6:$B$2005,B311)=1,OR(F311="Supported",F311="Unsupported",F311="Contradicted"),OR(G311="Supported",G311="Wrong citation",G311="Missing citation"),OR(H311="Yes",H311="No"),I311&lt;&gt;"",OR(F311&lt;&gt;"Supported",E311&lt;&gt;""),OR(G311&lt;&gt;"Supported",AND(F311="Supported",D311&lt;&gt;"",E311&lt;&gt;""))),"Yes","No"))</f>
        <v/>
      </c>
    </row>
    <row r="312" spans="11:11">
      <c r="K312" s="11">
        <f>IF(OR(A312="",C312=""),"",IF(AND(COUNTIF(Responses!$A$6:$A$205,A312)=1,B312&lt;&gt;"",COUNTIFS($A$6:$A$2005,A312,$B$6:$B$2005,B312)=1,OR(F312="Supported",F312="Unsupported",F312="Contradicted"),OR(G312="Supported",G312="Wrong citation",G312="Missing citation"),OR(H312="Yes",H312="No"),I312&lt;&gt;"",OR(F312&lt;&gt;"Supported",E312&lt;&gt;""),OR(G312&lt;&gt;"Supported",AND(F312="Supported",D312&lt;&gt;"",E312&lt;&gt;""))),"Yes","No"))</f>
        <v/>
      </c>
    </row>
    <row r="313" spans="11:11">
      <c r="K313" s="11">
        <f>IF(OR(A313="",C313=""),"",IF(AND(COUNTIF(Responses!$A$6:$A$205,A313)=1,B313&lt;&gt;"",COUNTIFS($A$6:$A$2005,A313,$B$6:$B$2005,B313)=1,OR(F313="Supported",F313="Unsupported",F313="Contradicted"),OR(G313="Supported",G313="Wrong citation",G313="Missing citation"),OR(H313="Yes",H313="No"),I313&lt;&gt;"",OR(F313&lt;&gt;"Supported",E313&lt;&gt;""),OR(G313&lt;&gt;"Supported",AND(F313="Supported",D313&lt;&gt;"",E313&lt;&gt;""))),"Yes","No"))</f>
        <v/>
      </c>
    </row>
    <row r="314" spans="11:11">
      <c r="K314" s="11">
        <f>IF(OR(A314="",C314=""),"",IF(AND(COUNTIF(Responses!$A$6:$A$205,A314)=1,B314&lt;&gt;"",COUNTIFS($A$6:$A$2005,A314,$B$6:$B$2005,B314)=1,OR(F314="Supported",F314="Unsupported",F314="Contradicted"),OR(G314="Supported",G314="Wrong citation",G314="Missing citation"),OR(H314="Yes",H314="No"),I314&lt;&gt;"",OR(F314&lt;&gt;"Supported",E314&lt;&gt;""),OR(G314&lt;&gt;"Supported",AND(F314="Supported",D314&lt;&gt;"",E314&lt;&gt;""))),"Yes","No"))</f>
        <v/>
      </c>
    </row>
    <row r="315" spans="11:11">
      <c r="K315" s="11">
        <f>IF(OR(A315="",C315=""),"",IF(AND(COUNTIF(Responses!$A$6:$A$205,A315)=1,B315&lt;&gt;"",COUNTIFS($A$6:$A$2005,A315,$B$6:$B$2005,B315)=1,OR(F315="Supported",F315="Unsupported",F315="Contradicted"),OR(G315="Supported",G315="Wrong citation",G315="Missing citation"),OR(H315="Yes",H315="No"),I315&lt;&gt;"",OR(F315&lt;&gt;"Supported",E315&lt;&gt;""),OR(G315&lt;&gt;"Supported",AND(F315="Supported",D315&lt;&gt;"",E315&lt;&gt;""))),"Yes","No"))</f>
        <v/>
      </c>
    </row>
    <row r="316" spans="11:11">
      <c r="K316" s="11">
        <f>IF(OR(A316="",C316=""),"",IF(AND(COUNTIF(Responses!$A$6:$A$205,A316)=1,B316&lt;&gt;"",COUNTIFS($A$6:$A$2005,A316,$B$6:$B$2005,B316)=1,OR(F316="Supported",F316="Unsupported",F316="Contradicted"),OR(G316="Supported",G316="Wrong citation",G316="Missing citation"),OR(H316="Yes",H316="No"),I316&lt;&gt;"",OR(F316&lt;&gt;"Supported",E316&lt;&gt;""),OR(G316&lt;&gt;"Supported",AND(F316="Supported",D316&lt;&gt;"",E316&lt;&gt;""))),"Yes","No"))</f>
        <v/>
      </c>
    </row>
    <row r="317" spans="11:11">
      <c r="K317" s="11">
        <f>IF(OR(A317="",C317=""),"",IF(AND(COUNTIF(Responses!$A$6:$A$205,A317)=1,B317&lt;&gt;"",COUNTIFS($A$6:$A$2005,A317,$B$6:$B$2005,B317)=1,OR(F317="Supported",F317="Unsupported",F317="Contradicted"),OR(G317="Supported",G317="Wrong citation",G317="Missing citation"),OR(H317="Yes",H317="No"),I317&lt;&gt;"",OR(F317&lt;&gt;"Supported",E317&lt;&gt;""),OR(G317&lt;&gt;"Supported",AND(F317="Supported",D317&lt;&gt;"",E317&lt;&gt;""))),"Yes","No"))</f>
        <v/>
      </c>
    </row>
    <row r="318" spans="11:11">
      <c r="K318" s="11">
        <f>IF(OR(A318="",C318=""),"",IF(AND(COUNTIF(Responses!$A$6:$A$205,A318)=1,B318&lt;&gt;"",COUNTIFS($A$6:$A$2005,A318,$B$6:$B$2005,B318)=1,OR(F318="Supported",F318="Unsupported",F318="Contradicted"),OR(G318="Supported",G318="Wrong citation",G318="Missing citation"),OR(H318="Yes",H318="No"),I318&lt;&gt;"",OR(F318&lt;&gt;"Supported",E318&lt;&gt;""),OR(G318&lt;&gt;"Supported",AND(F318="Supported",D318&lt;&gt;"",E318&lt;&gt;""))),"Yes","No"))</f>
        <v/>
      </c>
    </row>
    <row r="319" spans="11:11">
      <c r="K319" s="11">
        <f>IF(OR(A319="",C319=""),"",IF(AND(COUNTIF(Responses!$A$6:$A$205,A319)=1,B319&lt;&gt;"",COUNTIFS($A$6:$A$2005,A319,$B$6:$B$2005,B319)=1,OR(F319="Supported",F319="Unsupported",F319="Contradicted"),OR(G319="Supported",G319="Wrong citation",G319="Missing citation"),OR(H319="Yes",H319="No"),I319&lt;&gt;"",OR(F319&lt;&gt;"Supported",E319&lt;&gt;""),OR(G319&lt;&gt;"Supported",AND(F319="Supported",D319&lt;&gt;"",E319&lt;&gt;""))),"Yes","No"))</f>
        <v/>
      </c>
    </row>
    <row r="320" spans="11:11">
      <c r="K320" s="11">
        <f>IF(OR(A320="",C320=""),"",IF(AND(COUNTIF(Responses!$A$6:$A$205,A320)=1,B320&lt;&gt;"",COUNTIFS($A$6:$A$2005,A320,$B$6:$B$2005,B320)=1,OR(F320="Supported",F320="Unsupported",F320="Contradicted"),OR(G320="Supported",G320="Wrong citation",G320="Missing citation"),OR(H320="Yes",H320="No"),I320&lt;&gt;"",OR(F320&lt;&gt;"Supported",E320&lt;&gt;""),OR(G320&lt;&gt;"Supported",AND(F320="Supported",D320&lt;&gt;"",E320&lt;&gt;""))),"Yes","No"))</f>
        <v/>
      </c>
    </row>
    <row r="321" spans="11:11">
      <c r="K321" s="11">
        <f>IF(OR(A321="",C321=""),"",IF(AND(COUNTIF(Responses!$A$6:$A$205,A321)=1,B321&lt;&gt;"",COUNTIFS($A$6:$A$2005,A321,$B$6:$B$2005,B321)=1,OR(F321="Supported",F321="Unsupported",F321="Contradicted"),OR(G321="Supported",G321="Wrong citation",G321="Missing citation"),OR(H321="Yes",H321="No"),I321&lt;&gt;"",OR(F321&lt;&gt;"Supported",E321&lt;&gt;""),OR(G321&lt;&gt;"Supported",AND(F321="Supported",D321&lt;&gt;"",E321&lt;&gt;""))),"Yes","No"))</f>
        <v/>
      </c>
    </row>
    <row r="322" spans="11:11">
      <c r="K322" s="11">
        <f>IF(OR(A322="",C322=""),"",IF(AND(COUNTIF(Responses!$A$6:$A$205,A322)=1,B322&lt;&gt;"",COUNTIFS($A$6:$A$2005,A322,$B$6:$B$2005,B322)=1,OR(F322="Supported",F322="Unsupported",F322="Contradicted"),OR(G322="Supported",G322="Wrong citation",G322="Missing citation"),OR(H322="Yes",H322="No"),I322&lt;&gt;"",OR(F322&lt;&gt;"Supported",E322&lt;&gt;""),OR(G322&lt;&gt;"Supported",AND(F322="Supported",D322&lt;&gt;"",E322&lt;&gt;""))),"Yes","No"))</f>
        <v/>
      </c>
    </row>
    <row r="323" spans="11:11">
      <c r="K323" s="11">
        <f>IF(OR(A323="",C323=""),"",IF(AND(COUNTIF(Responses!$A$6:$A$205,A323)=1,B323&lt;&gt;"",COUNTIFS($A$6:$A$2005,A323,$B$6:$B$2005,B323)=1,OR(F323="Supported",F323="Unsupported",F323="Contradicted"),OR(G323="Supported",G323="Wrong citation",G323="Missing citation"),OR(H323="Yes",H323="No"),I323&lt;&gt;"",OR(F323&lt;&gt;"Supported",E323&lt;&gt;""),OR(G323&lt;&gt;"Supported",AND(F323="Supported",D323&lt;&gt;"",E323&lt;&gt;""))),"Yes","No"))</f>
        <v/>
      </c>
    </row>
    <row r="324" spans="11:11">
      <c r="K324" s="11">
        <f>IF(OR(A324="",C324=""),"",IF(AND(COUNTIF(Responses!$A$6:$A$205,A324)=1,B324&lt;&gt;"",COUNTIFS($A$6:$A$2005,A324,$B$6:$B$2005,B324)=1,OR(F324="Supported",F324="Unsupported",F324="Contradicted"),OR(G324="Supported",G324="Wrong citation",G324="Missing citation"),OR(H324="Yes",H324="No"),I324&lt;&gt;"",OR(F324&lt;&gt;"Supported",E324&lt;&gt;""),OR(G324&lt;&gt;"Supported",AND(F324="Supported",D324&lt;&gt;"",E324&lt;&gt;""))),"Yes","No"))</f>
        <v/>
      </c>
    </row>
    <row r="325" spans="11:11">
      <c r="K325" s="11">
        <f>IF(OR(A325="",C325=""),"",IF(AND(COUNTIF(Responses!$A$6:$A$205,A325)=1,B325&lt;&gt;"",COUNTIFS($A$6:$A$2005,A325,$B$6:$B$2005,B325)=1,OR(F325="Supported",F325="Unsupported",F325="Contradicted"),OR(G325="Supported",G325="Wrong citation",G325="Missing citation"),OR(H325="Yes",H325="No"),I325&lt;&gt;"",OR(F325&lt;&gt;"Supported",E325&lt;&gt;""),OR(G325&lt;&gt;"Supported",AND(F325="Supported",D325&lt;&gt;"",E325&lt;&gt;""))),"Yes","No"))</f>
        <v/>
      </c>
    </row>
    <row r="326" spans="11:11">
      <c r="K326" s="11">
        <f>IF(OR(A326="",C326=""),"",IF(AND(COUNTIF(Responses!$A$6:$A$205,A326)=1,B326&lt;&gt;"",COUNTIFS($A$6:$A$2005,A326,$B$6:$B$2005,B326)=1,OR(F326="Supported",F326="Unsupported",F326="Contradicted"),OR(G326="Supported",G326="Wrong citation",G326="Missing citation"),OR(H326="Yes",H326="No"),I326&lt;&gt;"",OR(F326&lt;&gt;"Supported",E326&lt;&gt;""),OR(G326&lt;&gt;"Supported",AND(F326="Supported",D326&lt;&gt;"",E326&lt;&gt;""))),"Yes","No"))</f>
        <v/>
      </c>
    </row>
    <row r="327" spans="11:11">
      <c r="K327" s="11">
        <f>IF(OR(A327="",C327=""),"",IF(AND(COUNTIF(Responses!$A$6:$A$205,A327)=1,B327&lt;&gt;"",COUNTIFS($A$6:$A$2005,A327,$B$6:$B$2005,B327)=1,OR(F327="Supported",F327="Unsupported",F327="Contradicted"),OR(G327="Supported",G327="Wrong citation",G327="Missing citation"),OR(H327="Yes",H327="No"),I327&lt;&gt;"",OR(F327&lt;&gt;"Supported",E327&lt;&gt;""),OR(G327&lt;&gt;"Supported",AND(F327="Supported",D327&lt;&gt;"",E327&lt;&gt;""))),"Yes","No"))</f>
        <v/>
      </c>
    </row>
    <row r="328" spans="11:11">
      <c r="K328" s="11">
        <f>IF(OR(A328="",C328=""),"",IF(AND(COUNTIF(Responses!$A$6:$A$205,A328)=1,B328&lt;&gt;"",COUNTIFS($A$6:$A$2005,A328,$B$6:$B$2005,B328)=1,OR(F328="Supported",F328="Unsupported",F328="Contradicted"),OR(G328="Supported",G328="Wrong citation",G328="Missing citation"),OR(H328="Yes",H328="No"),I328&lt;&gt;"",OR(F328&lt;&gt;"Supported",E328&lt;&gt;""),OR(G328&lt;&gt;"Supported",AND(F328="Supported",D328&lt;&gt;"",E328&lt;&gt;""))),"Yes","No"))</f>
        <v/>
      </c>
    </row>
    <row r="329" spans="11:11">
      <c r="K329" s="11">
        <f>IF(OR(A329="",C329=""),"",IF(AND(COUNTIF(Responses!$A$6:$A$205,A329)=1,B329&lt;&gt;"",COUNTIFS($A$6:$A$2005,A329,$B$6:$B$2005,B329)=1,OR(F329="Supported",F329="Unsupported",F329="Contradicted"),OR(G329="Supported",G329="Wrong citation",G329="Missing citation"),OR(H329="Yes",H329="No"),I329&lt;&gt;"",OR(F329&lt;&gt;"Supported",E329&lt;&gt;""),OR(G329&lt;&gt;"Supported",AND(F329="Supported",D329&lt;&gt;"",E329&lt;&gt;""))),"Yes","No"))</f>
        <v/>
      </c>
    </row>
    <row r="330" spans="11:11">
      <c r="K330" s="11">
        <f>IF(OR(A330="",C330=""),"",IF(AND(COUNTIF(Responses!$A$6:$A$205,A330)=1,B330&lt;&gt;"",COUNTIFS($A$6:$A$2005,A330,$B$6:$B$2005,B330)=1,OR(F330="Supported",F330="Unsupported",F330="Contradicted"),OR(G330="Supported",G330="Wrong citation",G330="Missing citation"),OR(H330="Yes",H330="No"),I330&lt;&gt;"",OR(F330&lt;&gt;"Supported",E330&lt;&gt;""),OR(G330&lt;&gt;"Supported",AND(F330="Supported",D330&lt;&gt;"",E330&lt;&gt;""))),"Yes","No"))</f>
        <v/>
      </c>
    </row>
    <row r="331" spans="11:11">
      <c r="K331" s="11">
        <f>IF(OR(A331="",C331=""),"",IF(AND(COUNTIF(Responses!$A$6:$A$205,A331)=1,B331&lt;&gt;"",COUNTIFS($A$6:$A$2005,A331,$B$6:$B$2005,B331)=1,OR(F331="Supported",F331="Unsupported",F331="Contradicted"),OR(G331="Supported",G331="Wrong citation",G331="Missing citation"),OR(H331="Yes",H331="No"),I331&lt;&gt;"",OR(F331&lt;&gt;"Supported",E331&lt;&gt;""),OR(G331&lt;&gt;"Supported",AND(F331="Supported",D331&lt;&gt;"",E331&lt;&gt;""))),"Yes","No"))</f>
        <v/>
      </c>
    </row>
    <row r="332" spans="11:11">
      <c r="K332" s="11">
        <f>IF(OR(A332="",C332=""),"",IF(AND(COUNTIF(Responses!$A$6:$A$205,A332)=1,B332&lt;&gt;"",COUNTIFS($A$6:$A$2005,A332,$B$6:$B$2005,B332)=1,OR(F332="Supported",F332="Unsupported",F332="Contradicted"),OR(G332="Supported",G332="Wrong citation",G332="Missing citation"),OR(H332="Yes",H332="No"),I332&lt;&gt;"",OR(F332&lt;&gt;"Supported",E332&lt;&gt;""),OR(G332&lt;&gt;"Supported",AND(F332="Supported",D332&lt;&gt;"",E332&lt;&gt;""))),"Yes","No"))</f>
        <v/>
      </c>
    </row>
    <row r="333" spans="11:11">
      <c r="K333" s="11">
        <f>IF(OR(A333="",C333=""),"",IF(AND(COUNTIF(Responses!$A$6:$A$205,A333)=1,B333&lt;&gt;"",COUNTIFS($A$6:$A$2005,A333,$B$6:$B$2005,B333)=1,OR(F333="Supported",F333="Unsupported",F333="Contradicted"),OR(G333="Supported",G333="Wrong citation",G333="Missing citation"),OR(H333="Yes",H333="No"),I333&lt;&gt;"",OR(F333&lt;&gt;"Supported",E333&lt;&gt;""),OR(G333&lt;&gt;"Supported",AND(F333="Supported",D333&lt;&gt;"",E333&lt;&gt;""))),"Yes","No"))</f>
        <v/>
      </c>
    </row>
    <row r="334" spans="11:11">
      <c r="K334" s="11">
        <f>IF(OR(A334="",C334=""),"",IF(AND(COUNTIF(Responses!$A$6:$A$205,A334)=1,B334&lt;&gt;"",COUNTIFS($A$6:$A$2005,A334,$B$6:$B$2005,B334)=1,OR(F334="Supported",F334="Unsupported",F334="Contradicted"),OR(G334="Supported",G334="Wrong citation",G334="Missing citation"),OR(H334="Yes",H334="No"),I334&lt;&gt;"",OR(F334&lt;&gt;"Supported",E334&lt;&gt;""),OR(G334&lt;&gt;"Supported",AND(F334="Supported",D334&lt;&gt;"",E334&lt;&gt;""))),"Yes","No"))</f>
        <v/>
      </c>
    </row>
    <row r="335" spans="11:11">
      <c r="K335" s="11">
        <f>IF(OR(A335="",C335=""),"",IF(AND(COUNTIF(Responses!$A$6:$A$205,A335)=1,B335&lt;&gt;"",COUNTIFS($A$6:$A$2005,A335,$B$6:$B$2005,B335)=1,OR(F335="Supported",F335="Unsupported",F335="Contradicted"),OR(G335="Supported",G335="Wrong citation",G335="Missing citation"),OR(H335="Yes",H335="No"),I335&lt;&gt;"",OR(F335&lt;&gt;"Supported",E335&lt;&gt;""),OR(G335&lt;&gt;"Supported",AND(F335="Supported",D335&lt;&gt;"",E335&lt;&gt;""))),"Yes","No"))</f>
        <v/>
      </c>
    </row>
    <row r="336" spans="11:11">
      <c r="K336" s="11">
        <f>IF(OR(A336="",C336=""),"",IF(AND(COUNTIF(Responses!$A$6:$A$205,A336)=1,B336&lt;&gt;"",COUNTIFS($A$6:$A$2005,A336,$B$6:$B$2005,B336)=1,OR(F336="Supported",F336="Unsupported",F336="Contradicted"),OR(G336="Supported",G336="Wrong citation",G336="Missing citation"),OR(H336="Yes",H336="No"),I336&lt;&gt;"",OR(F336&lt;&gt;"Supported",E336&lt;&gt;""),OR(G336&lt;&gt;"Supported",AND(F336="Supported",D336&lt;&gt;"",E336&lt;&gt;""))),"Yes","No"))</f>
        <v/>
      </c>
    </row>
    <row r="337" spans="11:11">
      <c r="K337" s="11">
        <f>IF(OR(A337="",C337=""),"",IF(AND(COUNTIF(Responses!$A$6:$A$205,A337)=1,B337&lt;&gt;"",COUNTIFS($A$6:$A$2005,A337,$B$6:$B$2005,B337)=1,OR(F337="Supported",F337="Unsupported",F337="Contradicted"),OR(G337="Supported",G337="Wrong citation",G337="Missing citation"),OR(H337="Yes",H337="No"),I337&lt;&gt;"",OR(F337&lt;&gt;"Supported",E337&lt;&gt;""),OR(G337&lt;&gt;"Supported",AND(F337="Supported",D337&lt;&gt;"",E337&lt;&gt;""))),"Yes","No"))</f>
        <v/>
      </c>
    </row>
    <row r="338" spans="11:11">
      <c r="K338" s="11">
        <f>IF(OR(A338="",C338=""),"",IF(AND(COUNTIF(Responses!$A$6:$A$205,A338)=1,B338&lt;&gt;"",COUNTIFS($A$6:$A$2005,A338,$B$6:$B$2005,B338)=1,OR(F338="Supported",F338="Unsupported",F338="Contradicted"),OR(G338="Supported",G338="Wrong citation",G338="Missing citation"),OR(H338="Yes",H338="No"),I338&lt;&gt;"",OR(F338&lt;&gt;"Supported",E338&lt;&gt;""),OR(G338&lt;&gt;"Supported",AND(F338="Supported",D338&lt;&gt;"",E338&lt;&gt;""))),"Yes","No"))</f>
        <v/>
      </c>
    </row>
    <row r="339" spans="11:11">
      <c r="K339" s="11">
        <f>IF(OR(A339="",C339=""),"",IF(AND(COUNTIF(Responses!$A$6:$A$205,A339)=1,B339&lt;&gt;"",COUNTIFS($A$6:$A$2005,A339,$B$6:$B$2005,B339)=1,OR(F339="Supported",F339="Unsupported",F339="Contradicted"),OR(G339="Supported",G339="Wrong citation",G339="Missing citation"),OR(H339="Yes",H339="No"),I339&lt;&gt;"",OR(F339&lt;&gt;"Supported",E339&lt;&gt;""),OR(G339&lt;&gt;"Supported",AND(F339="Supported",D339&lt;&gt;"",E339&lt;&gt;""))),"Yes","No"))</f>
        <v/>
      </c>
    </row>
    <row r="340" spans="11:11">
      <c r="K340" s="11">
        <f>IF(OR(A340="",C340=""),"",IF(AND(COUNTIF(Responses!$A$6:$A$205,A340)=1,B340&lt;&gt;"",COUNTIFS($A$6:$A$2005,A340,$B$6:$B$2005,B340)=1,OR(F340="Supported",F340="Unsupported",F340="Contradicted"),OR(G340="Supported",G340="Wrong citation",G340="Missing citation"),OR(H340="Yes",H340="No"),I340&lt;&gt;"",OR(F340&lt;&gt;"Supported",E340&lt;&gt;""),OR(G340&lt;&gt;"Supported",AND(F340="Supported",D340&lt;&gt;"",E340&lt;&gt;""))),"Yes","No"))</f>
        <v/>
      </c>
    </row>
    <row r="341" spans="11:11">
      <c r="K341" s="11">
        <f>IF(OR(A341="",C341=""),"",IF(AND(COUNTIF(Responses!$A$6:$A$205,A341)=1,B341&lt;&gt;"",COUNTIFS($A$6:$A$2005,A341,$B$6:$B$2005,B341)=1,OR(F341="Supported",F341="Unsupported",F341="Contradicted"),OR(G341="Supported",G341="Wrong citation",G341="Missing citation"),OR(H341="Yes",H341="No"),I341&lt;&gt;"",OR(F341&lt;&gt;"Supported",E341&lt;&gt;""),OR(G341&lt;&gt;"Supported",AND(F341="Supported",D341&lt;&gt;"",E341&lt;&gt;""))),"Yes","No"))</f>
        <v/>
      </c>
    </row>
    <row r="342" spans="11:11">
      <c r="K342" s="11">
        <f>IF(OR(A342="",C342=""),"",IF(AND(COUNTIF(Responses!$A$6:$A$205,A342)=1,B342&lt;&gt;"",COUNTIFS($A$6:$A$2005,A342,$B$6:$B$2005,B342)=1,OR(F342="Supported",F342="Unsupported",F342="Contradicted"),OR(G342="Supported",G342="Wrong citation",G342="Missing citation"),OR(H342="Yes",H342="No"),I342&lt;&gt;"",OR(F342&lt;&gt;"Supported",E342&lt;&gt;""),OR(G342&lt;&gt;"Supported",AND(F342="Supported",D342&lt;&gt;"",E342&lt;&gt;""))),"Yes","No"))</f>
        <v/>
      </c>
    </row>
    <row r="343" spans="11:11">
      <c r="K343" s="11">
        <f>IF(OR(A343="",C343=""),"",IF(AND(COUNTIF(Responses!$A$6:$A$205,A343)=1,B343&lt;&gt;"",COUNTIFS($A$6:$A$2005,A343,$B$6:$B$2005,B343)=1,OR(F343="Supported",F343="Unsupported",F343="Contradicted"),OR(G343="Supported",G343="Wrong citation",G343="Missing citation"),OR(H343="Yes",H343="No"),I343&lt;&gt;"",OR(F343&lt;&gt;"Supported",E343&lt;&gt;""),OR(G343&lt;&gt;"Supported",AND(F343="Supported",D343&lt;&gt;"",E343&lt;&gt;""))),"Yes","No"))</f>
        <v/>
      </c>
    </row>
    <row r="344" spans="11:11">
      <c r="K344" s="11">
        <f>IF(OR(A344="",C344=""),"",IF(AND(COUNTIF(Responses!$A$6:$A$205,A344)=1,B344&lt;&gt;"",COUNTIFS($A$6:$A$2005,A344,$B$6:$B$2005,B344)=1,OR(F344="Supported",F344="Unsupported",F344="Contradicted"),OR(G344="Supported",G344="Wrong citation",G344="Missing citation"),OR(H344="Yes",H344="No"),I344&lt;&gt;"",OR(F344&lt;&gt;"Supported",E344&lt;&gt;""),OR(G344&lt;&gt;"Supported",AND(F344="Supported",D344&lt;&gt;"",E344&lt;&gt;""))),"Yes","No"))</f>
        <v/>
      </c>
    </row>
    <row r="345" spans="11:11">
      <c r="K345" s="11">
        <f>IF(OR(A345="",C345=""),"",IF(AND(COUNTIF(Responses!$A$6:$A$205,A345)=1,B345&lt;&gt;"",COUNTIFS($A$6:$A$2005,A345,$B$6:$B$2005,B345)=1,OR(F345="Supported",F345="Unsupported",F345="Contradicted"),OR(G345="Supported",G345="Wrong citation",G345="Missing citation"),OR(H345="Yes",H345="No"),I345&lt;&gt;"",OR(F345&lt;&gt;"Supported",E345&lt;&gt;""),OR(G345&lt;&gt;"Supported",AND(F345="Supported",D345&lt;&gt;"",E345&lt;&gt;""))),"Yes","No"))</f>
        <v/>
      </c>
    </row>
    <row r="346" spans="11:11">
      <c r="K346" s="11">
        <f>IF(OR(A346="",C346=""),"",IF(AND(COUNTIF(Responses!$A$6:$A$205,A346)=1,B346&lt;&gt;"",COUNTIFS($A$6:$A$2005,A346,$B$6:$B$2005,B346)=1,OR(F346="Supported",F346="Unsupported",F346="Contradicted"),OR(G346="Supported",G346="Wrong citation",G346="Missing citation"),OR(H346="Yes",H346="No"),I346&lt;&gt;"",OR(F346&lt;&gt;"Supported",E346&lt;&gt;""),OR(G346&lt;&gt;"Supported",AND(F346="Supported",D346&lt;&gt;"",E346&lt;&gt;""))),"Yes","No"))</f>
        <v/>
      </c>
    </row>
    <row r="347" spans="11:11">
      <c r="K347" s="11">
        <f>IF(OR(A347="",C347=""),"",IF(AND(COUNTIF(Responses!$A$6:$A$205,A347)=1,B347&lt;&gt;"",COUNTIFS($A$6:$A$2005,A347,$B$6:$B$2005,B347)=1,OR(F347="Supported",F347="Unsupported",F347="Contradicted"),OR(G347="Supported",G347="Wrong citation",G347="Missing citation"),OR(H347="Yes",H347="No"),I347&lt;&gt;"",OR(F347&lt;&gt;"Supported",E347&lt;&gt;""),OR(G347&lt;&gt;"Supported",AND(F347="Supported",D347&lt;&gt;"",E347&lt;&gt;""))),"Yes","No"))</f>
        <v/>
      </c>
    </row>
    <row r="348" spans="11:11">
      <c r="K348" s="11">
        <f>IF(OR(A348="",C348=""),"",IF(AND(COUNTIF(Responses!$A$6:$A$205,A348)=1,B348&lt;&gt;"",COUNTIFS($A$6:$A$2005,A348,$B$6:$B$2005,B348)=1,OR(F348="Supported",F348="Unsupported",F348="Contradicted"),OR(G348="Supported",G348="Wrong citation",G348="Missing citation"),OR(H348="Yes",H348="No"),I348&lt;&gt;"",OR(F348&lt;&gt;"Supported",E348&lt;&gt;""),OR(G348&lt;&gt;"Supported",AND(F348="Supported",D348&lt;&gt;"",E348&lt;&gt;""))),"Yes","No"))</f>
        <v/>
      </c>
    </row>
    <row r="349" spans="11:11">
      <c r="K349" s="11">
        <f>IF(OR(A349="",C349=""),"",IF(AND(COUNTIF(Responses!$A$6:$A$205,A349)=1,B349&lt;&gt;"",COUNTIFS($A$6:$A$2005,A349,$B$6:$B$2005,B349)=1,OR(F349="Supported",F349="Unsupported",F349="Contradicted"),OR(G349="Supported",G349="Wrong citation",G349="Missing citation"),OR(H349="Yes",H349="No"),I349&lt;&gt;"",OR(F349&lt;&gt;"Supported",E349&lt;&gt;""),OR(G349&lt;&gt;"Supported",AND(F349="Supported",D349&lt;&gt;"",E349&lt;&gt;""))),"Yes","No"))</f>
        <v/>
      </c>
    </row>
    <row r="350" spans="11:11">
      <c r="K350" s="11">
        <f>IF(OR(A350="",C350=""),"",IF(AND(COUNTIF(Responses!$A$6:$A$205,A350)=1,B350&lt;&gt;"",COUNTIFS($A$6:$A$2005,A350,$B$6:$B$2005,B350)=1,OR(F350="Supported",F350="Unsupported",F350="Contradicted"),OR(G350="Supported",G350="Wrong citation",G350="Missing citation"),OR(H350="Yes",H350="No"),I350&lt;&gt;"",OR(F350&lt;&gt;"Supported",E350&lt;&gt;""),OR(G350&lt;&gt;"Supported",AND(F350="Supported",D350&lt;&gt;"",E350&lt;&gt;""))),"Yes","No"))</f>
        <v/>
      </c>
    </row>
    <row r="351" spans="11:11">
      <c r="K351" s="11">
        <f>IF(OR(A351="",C351=""),"",IF(AND(COUNTIF(Responses!$A$6:$A$205,A351)=1,B351&lt;&gt;"",COUNTIFS($A$6:$A$2005,A351,$B$6:$B$2005,B351)=1,OR(F351="Supported",F351="Unsupported",F351="Contradicted"),OR(G351="Supported",G351="Wrong citation",G351="Missing citation"),OR(H351="Yes",H351="No"),I351&lt;&gt;"",OR(F351&lt;&gt;"Supported",E351&lt;&gt;""),OR(G351&lt;&gt;"Supported",AND(F351="Supported",D351&lt;&gt;"",E351&lt;&gt;""))),"Yes","No"))</f>
        <v/>
      </c>
    </row>
    <row r="352" spans="11:11">
      <c r="K352" s="11">
        <f>IF(OR(A352="",C352=""),"",IF(AND(COUNTIF(Responses!$A$6:$A$205,A352)=1,B352&lt;&gt;"",COUNTIFS($A$6:$A$2005,A352,$B$6:$B$2005,B352)=1,OR(F352="Supported",F352="Unsupported",F352="Contradicted"),OR(G352="Supported",G352="Wrong citation",G352="Missing citation"),OR(H352="Yes",H352="No"),I352&lt;&gt;"",OR(F352&lt;&gt;"Supported",E352&lt;&gt;""),OR(G352&lt;&gt;"Supported",AND(F352="Supported",D352&lt;&gt;"",E352&lt;&gt;""))),"Yes","No"))</f>
        <v/>
      </c>
    </row>
    <row r="353" spans="11:11">
      <c r="K353" s="11">
        <f>IF(OR(A353="",C353=""),"",IF(AND(COUNTIF(Responses!$A$6:$A$205,A353)=1,B353&lt;&gt;"",COUNTIFS($A$6:$A$2005,A353,$B$6:$B$2005,B353)=1,OR(F353="Supported",F353="Unsupported",F353="Contradicted"),OR(G353="Supported",G353="Wrong citation",G353="Missing citation"),OR(H353="Yes",H353="No"),I353&lt;&gt;"",OR(F353&lt;&gt;"Supported",E353&lt;&gt;""),OR(G353&lt;&gt;"Supported",AND(F353="Supported",D353&lt;&gt;"",E353&lt;&gt;""))),"Yes","No"))</f>
        <v/>
      </c>
    </row>
    <row r="354" spans="11:11">
      <c r="K354" s="11">
        <f>IF(OR(A354="",C354=""),"",IF(AND(COUNTIF(Responses!$A$6:$A$205,A354)=1,B354&lt;&gt;"",COUNTIFS($A$6:$A$2005,A354,$B$6:$B$2005,B354)=1,OR(F354="Supported",F354="Unsupported",F354="Contradicted"),OR(G354="Supported",G354="Wrong citation",G354="Missing citation"),OR(H354="Yes",H354="No"),I354&lt;&gt;"",OR(F354&lt;&gt;"Supported",E354&lt;&gt;""),OR(G354&lt;&gt;"Supported",AND(F354="Supported",D354&lt;&gt;"",E354&lt;&gt;""))),"Yes","No"))</f>
        <v/>
      </c>
    </row>
    <row r="355" spans="11:11">
      <c r="K355" s="11">
        <f>IF(OR(A355="",C355=""),"",IF(AND(COUNTIF(Responses!$A$6:$A$205,A355)=1,B355&lt;&gt;"",COUNTIFS($A$6:$A$2005,A355,$B$6:$B$2005,B355)=1,OR(F355="Supported",F355="Unsupported",F355="Contradicted"),OR(G355="Supported",G355="Wrong citation",G355="Missing citation"),OR(H355="Yes",H355="No"),I355&lt;&gt;"",OR(F355&lt;&gt;"Supported",E355&lt;&gt;""),OR(G355&lt;&gt;"Supported",AND(F355="Supported",D355&lt;&gt;"",E355&lt;&gt;""))),"Yes","No"))</f>
        <v/>
      </c>
    </row>
    <row r="356" spans="11:11">
      <c r="K356" s="11">
        <f>IF(OR(A356="",C356=""),"",IF(AND(COUNTIF(Responses!$A$6:$A$205,A356)=1,B356&lt;&gt;"",COUNTIFS($A$6:$A$2005,A356,$B$6:$B$2005,B356)=1,OR(F356="Supported",F356="Unsupported",F356="Contradicted"),OR(G356="Supported",G356="Wrong citation",G356="Missing citation"),OR(H356="Yes",H356="No"),I356&lt;&gt;"",OR(F356&lt;&gt;"Supported",E356&lt;&gt;""),OR(G356&lt;&gt;"Supported",AND(F356="Supported",D356&lt;&gt;"",E356&lt;&gt;""))),"Yes","No"))</f>
        <v/>
      </c>
    </row>
    <row r="357" spans="11:11">
      <c r="K357" s="11">
        <f>IF(OR(A357="",C357=""),"",IF(AND(COUNTIF(Responses!$A$6:$A$205,A357)=1,B357&lt;&gt;"",COUNTIFS($A$6:$A$2005,A357,$B$6:$B$2005,B357)=1,OR(F357="Supported",F357="Unsupported",F357="Contradicted"),OR(G357="Supported",G357="Wrong citation",G357="Missing citation"),OR(H357="Yes",H357="No"),I357&lt;&gt;"",OR(F357&lt;&gt;"Supported",E357&lt;&gt;""),OR(G357&lt;&gt;"Supported",AND(F357="Supported",D357&lt;&gt;"",E357&lt;&gt;""))),"Yes","No"))</f>
        <v/>
      </c>
    </row>
    <row r="358" spans="11:11">
      <c r="K358" s="11">
        <f>IF(OR(A358="",C358=""),"",IF(AND(COUNTIF(Responses!$A$6:$A$205,A358)=1,B358&lt;&gt;"",COUNTIFS($A$6:$A$2005,A358,$B$6:$B$2005,B358)=1,OR(F358="Supported",F358="Unsupported",F358="Contradicted"),OR(G358="Supported",G358="Wrong citation",G358="Missing citation"),OR(H358="Yes",H358="No"),I358&lt;&gt;"",OR(F358&lt;&gt;"Supported",E358&lt;&gt;""),OR(G358&lt;&gt;"Supported",AND(F358="Supported",D358&lt;&gt;"",E358&lt;&gt;""))),"Yes","No"))</f>
        <v/>
      </c>
    </row>
    <row r="359" spans="11:11">
      <c r="K359" s="11">
        <f>IF(OR(A359="",C359=""),"",IF(AND(COUNTIF(Responses!$A$6:$A$205,A359)=1,B359&lt;&gt;"",COUNTIFS($A$6:$A$2005,A359,$B$6:$B$2005,B359)=1,OR(F359="Supported",F359="Unsupported",F359="Contradicted"),OR(G359="Supported",G359="Wrong citation",G359="Missing citation"),OR(H359="Yes",H359="No"),I359&lt;&gt;"",OR(F359&lt;&gt;"Supported",E359&lt;&gt;""),OR(G359&lt;&gt;"Supported",AND(F359="Supported",D359&lt;&gt;"",E359&lt;&gt;""))),"Yes","No"))</f>
        <v/>
      </c>
    </row>
    <row r="360" spans="11:11">
      <c r="K360" s="11">
        <f>IF(OR(A360="",C360=""),"",IF(AND(COUNTIF(Responses!$A$6:$A$205,A360)=1,B360&lt;&gt;"",COUNTIFS($A$6:$A$2005,A360,$B$6:$B$2005,B360)=1,OR(F360="Supported",F360="Unsupported",F360="Contradicted"),OR(G360="Supported",G360="Wrong citation",G360="Missing citation"),OR(H360="Yes",H360="No"),I360&lt;&gt;"",OR(F360&lt;&gt;"Supported",E360&lt;&gt;""),OR(G360&lt;&gt;"Supported",AND(F360="Supported",D360&lt;&gt;"",E360&lt;&gt;""))),"Yes","No"))</f>
        <v/>
      </c>
    </row>
    <row r="361" spans="11:11">
      <c r="K361" s="11">
        <f>IF(OR(A361="",C361=""),"",IF(AND(COUNTIF(Responses!$A$6:$A$205,A361)=1,B361&lt;&gt;"",COUNTIFS($A$6:$A$2005,A361,$B$6:$B$2005,B361)=1,OR(F361="Supported",F361="Unsupported",F361="Contradicted"),OR(G361="Supported",G361="Wrong citation",G361="Missing citation"),OR(H361="Yes",H361="No"),I361&lt;&gt;"",OR(F361&lt;&gt;"Supported",E361&lt;&gt;""),OR(G361&lt;&gt;"Supported",AND(F361="Supported",D361&lt;&gt;"",E361&lt;&gt;""))),"Yes","No"))</f>
        <v/>
      </c>
    </row>
    <row r="362" spans="11:11">
      <c r="K362" s="11">
        <f>IF(OR(A362="",C362=""),"",IF(AND(COUNTIF(Responses!$A$6:$A$205,A362)=1,B362&lt;&gt;"",COUNTIFS($A$6:$A$2005,A362,$B$6:$B$2005,B362)=1,OR(F362="Supported",F362="Unsupported",F362="Contradicted"),OR(G362="Supported",G362="Wrong citation",G362="Missing citation"),OR(H362="Yes",H362="No"),I362&lt;&gt;"",OR(F362&lt;&gt;"Supported",E362&lt;&gt;""),OR(G362&lt;&gt;"Supported",AND(F362="Supported",D362&lt;&gt;"",E362&lt;&gt;""))),"Yes","No"))</f>
        <v/>
      </c>
    </row>
    <row r="363" spans="11:11">
      <c r="K363" s="11">
        <f>IF(OR(A363="",C363=""),"",IF(AND(COUNTIF(Responses!$A$6:$A$205,A363)=1,B363&lt;&gt;"",COUNTIFS($A$6:$A$2005,A363,$B$6:$B$2005,B363)=1,OR(F363="Supported",F363="Unsupported",F363="Contradicted"),OR(G363="Supported",G363="Wrong citation",G363="Missing citation"),OR(H363="Yes",H363="No"),I363&lt;&gt;"",OR(F363&lt;&gt;"Supported",E363&lt;&gt;""),OR(G363&lt;&gt;"Supported",AND(F363="Supported",D363&lt;&gt;"",E363&lt;&gt;""))),"Yes","No"))</f>
        <v/>
      </c>
    </row>
    <row r="364" spans="11:11">
      <c r="K364" s="11">
        <f>IF(OR(A364="",C364=""),"",IF(AND(COUNTIF(Responses!$A$6:$A$205,A364)=1,B364&lt;&gt;"",COUNTIFS($A$6:$A$2005,A364,$B$6:$B$2005,B364)=1,OR(F364="Supported",F364="Unsupported",F364="Contradicted"),OR(G364="Supported",G364="Wrong citation",G364="Missing citation"),OR(H364="Yes",H364="No"),I364&lt;&gt;"",OR(F364&lt;&gt;"Supported",E364&lt;&gt;""),OR(G364&lt;&gt;"Supported",AND(F364="Supported",D364&lt;&gt;"",E364&lt;&gt;""))),"Yes","No"))</f>
        <v/>
      </c>
    </row>
    <row r="365" spans="11:11">
      <c r="K365" s="11">
        <f>IF(OR(A365="",C365=""),"",IF(AND(COUNTIF(Responses!$A$6:$A$205,A365)=1,B365&lt;&gt;"",COUNTIFS($A$6:$A$2005,A365,$B$6:$B$2005,B365)=1,OR(F365="Supported",F365="Unsupported",F365="Contradicted"),OR(G365="Supported",G365="Wrong citation",G365="Missing citation"),OR(H365="Yes",H365="No"),I365&lt;&gt;"",OR(F365&lt;&gt;"Supported",E365&lt;&gt;""),OR(G365&lt;&gt;"Supported",AND(F365="Supported",D365&lt;&gt;"",E365&lt;&gt;""))),"Yes","No"))</f>
        <v/>
      </c>
    </row>
    <row r="366" spans="11:11">
      <c r="K366" s="11">
        <f>IF(OR(A366="",C366=""),"",IF(AND(COUNTIF(Responses!$A$6:$A$205,A366)=1,B366&lt;&gt;"",COUNTIFS($A$6:$A$2005,A366,$B$6:$B$2005,B366)=1,OR(F366="Supported",F366="Unsupported",F366="Contradicted"),OR(G366="Supported",G366="Wrong citation",G366="Missing citation"),OR(H366="Yes",H366="No"),I366&lt;&gt;"",OR(F366&lt;&gt;"Supported",E366&lt;&gt;""),OR(G366&lt;&gt;"Supported",AND(F366="Supported",D366&lt;&gt;"",E366&lt;&gt;""))),"Yes","No"))</f>
        <v/>
      </c>
    </row>
    <row r="367" spans="11:11">
      <c r="K367" s="11">
        <f>IF(OR(A367="",C367=""),"",IF(AND(COUNTIF(Responses!$A$6:$A$205,A367)=1,B367&lt;&gt;"",COUNTIFS($A$6:$A$2005,A367,$B$6:$B$2005,B367)=1,OR(F367="Supported",F367="Unsupported",F367="Contradicted"),OR(G367="Supported",G367="Wrong citation",G367="Missing citation"),OR(H367="Yes",H367="No"),I367&lt;&gt;"",OR(F367&lt;&gt;"Supported",E367&lt;&gt;""),OR(G367&lt;&gt;"Supported",AND(F367="Supported",D367&lt;&gt;"",E367&lt;&gt;""))),"Yes","No"))</f>
        <v/>
      </c>
    </row>
    <row r="368" spans="11:11">
      <c r="K368" s="11">
        <f>IF(OR(A368="",C368=""),"",IF(AND(COUNTIF(Responses!$A$6:$A$205,A368)=1,B368&lt;&gt;"",COUNTIFS($A$6:$A$2005,A368,$B$6:$B$2005,B368)=1,OR(F368="Supported",F368="Unsupported",F368="Contradicted"),OR(G368="Supported",G368="Wrong citation",G368="Missing citation"),OR(H368="Yes",H368="No"),I368&lt;&gt;"",OR(F368&lt;&gt;"Supported",E368&lt;&gt;""),OR(G368&lt;&gt;"Supported",AND(F368="Supported",D368&lt;&gt;"",E368&lt;&gt;""))),"Yes","No"))</f>
        <v/>
      </c>
    </row>
    <row r="369" spans="11:11">
      <c r="K369" s="11">
        <f>IF(OR(A369="",C369=""),"",IF(AND(COUNTIF(Responses!$A$6:$A$205,A369)=1,B369&lt;&gt;"",COUNTIFS($A$6:$A$2005,A369,$B$6:$B$2005,B369)=1,OR(F369="Supported",F369="Unsupported",F369="Contradicted"),OR(G369="Supported",G369="Wrong citation",G369="Missing citation"),OR(H369="Yes",H369="No"),I369&lt;&gt;"",OR(F369&lt;&gt;"Supported",E369&lt;&gt;""),OR(G369&lt;&gt;"Supported",AND(F369="Supported",D369&lt;&gt;"",E369&lt;&gt;""))),"Yes","No"))</f>
        <v/>
      </c>
    </row>
    <row r="370" spans="11:11">
      <c r="K370" s="11">
        <f>IF(OR(A370="",C370=""),"",IF(AND(COUNTIF(Responses!$A$6:$A$205,A370)=1,B370&lt;&gt;"",COUNTIFS($A$6:$A$2005,A370,$B$6:$B$2005,B370)=1,OR(F370="Supported",F370="Unsupported",F370="Contradicted"),OR(G370="Supported",G370="Wrong citation",G370="Missing citation"),OR(H370="Yes",H370="No"),I370&lt;&gt;"",OR(F370&lt;&gt;"Supported",E370&lt;&gt;""),OR(G370&lt;&gt;"Supported",AND(F370="Supported",D370&lt;&gt;"",E370&lt;&gt;""))),"Yes","No"))</f>
        <v/>
      </c>
    </row>
    <row r="371" spans="11:11">
      <c r="K371" s="11">
        <f>IF(OR(A371="",C371=""),"",IF(AND(COUNTIF(Responses!$A$6:$A$205,A371)=1,B371&lt;&gt;"",COUNTIFS($A$6:$A$2005,A371,$B$6:$B$2005,B371)=1,OR(F371="Supported",F371="Unsupported",F371="Contradicted"),OR(G371="Supported",G371="Wrong citation",G371="Missing citation"),OR(H371="Yes",H371="No"),I371&lt;&gt;"",OR(F371&lt;&gt;"Supported",E371&lt;&gt;""),OR(G371&lt;&gt;"Supported",AND(F371="Supported",D371&lt;&gt;"",E371&lt;&gt;""))),"Yes","No"))</f>
        <v/>
      </c>
    </row>
    <row r="372" spans="11:11">
      <c r="K372" s="11">
        <f>IF(OR(A372="",C372=""),"",IF(AND(COUNTIF(Responses!$A$6:$A$205,A372)=1,B372&lt;&gt;"",COUNTIFS($A$6:$A$2005,A372,$B$6:$B$2005,B372)=1,OR(F372="Supported",F372="Unsupported",F372="Contradicted"),OR(G372="Supported",G372="Wrong citation",G372="Missing citation"),OR(H372="Yes",H372="No"),I372&lt;&gt;"",OR(F372&lt;&gt;"Supported",E372&lt;&gt;""),OR(G372&lt;&gt;"Supported",AND(F372="Supported",D372&lt;&gt;"",E372&lt;&gt;""))),"Yes","No"))</f>
        <v/>
      </c>
    </row>
    <row r="373" spans="11:11">
      <c r="K373" s="11">
        <f>IF(OR(A373="",C373=""),"",IF(AND(COUNTIF(Responses!$A$6:$A$205,A373)=1,B373&lt;&gt;"",COUNTIFS($A$6:$A$2005,A373,$B$6:$B$2005,B373)=1,OR(F373="Supported",F373="Unsupported",F373="Contradicted"),OR(G373="Supported",G373="Wrong citation",G373="Missing citation"),OR(H373="Yes",H373="No"),I373&lt;&gt;"",OR(F373&lt;&gt;"Supported",E373&lt;&gt;""),OR(G373&lt;&gt;"Supported",AND(F373="Supported",D373&lt;&gt;"",E373&lt;&gt;""))),"Yes","No"))</f>
        <v/>
      </c>
    </row>
    <row r="374" spans="11:11">
      <c r="K374" s="11">
        <f>IF(OR(A374="",C374=""),"",IF(AND(COUNTIF(Responses!$A$6:$A$205,A374)=1,B374&lt;&gt;"",COUNTIFS($A$6:$A$2005,A374,$B$6:$B$2005,B374)=1,OR(F374="Supported",F374="Unsupported",F374="Contradicted"),OR(G374="Supported",G374="Wrong citation",G374="Missing citation"),OR(H374="Yes",H374="No"),I374&lt;&gt;"",OR(F374&lt;&gt;"Supported",E374&lt;&gt;""),OR(G374&lt;&gt;"Supported",AND(F374="Supported",D374&lt;&gt;"",E374&lt;&gt;""))),"Yes","No"))</f>
        <v/>
      </c>
    </row>
    <row r="375" spans="11:11">
      <c r="K375" s="11">
        <f>IF(OR(A375="",C375=""),"",IF(AND(COUNTIF(Responses!$A$6:$A$205,A375)=1,B375&lt;&gt;"",COUNTIFS($A$6:$A$2005,A375,$B$6:$B$2005,B375)=1,OR(F375="Supported",F375="Unsupported",F375="Contradicted"),OR(G375="Supported",G375="Wrong citation",G375="Missing citation"),OR(H375="Yes",H375="No"),I375&lt;&gt;"",OR(F375&lt;&gt;"Supported",E375&lt;&gt;""),OR(G375&lt;&gt;"Supported",AND(F375="Supported",D375&lt;&gt;"",E375&lt;&gt;""))),"Yes","No"))</f>
        <v/>
      </c>
    </row>
    <row r="376" spans="11:11">
      <c r="K376" s="11">
        <f>IF(OR(A376="",C376=""),"",IF(AND(COUNTIF(Responses!$A$6:$A$205,A376)=1,B376&lt;&gt;"",COUNTIFS($A$6:$A$2005,A376,$B$6:$B$2005,B376)=1,OR(F376="Supported",F376="Unsupported",F376="Contradicted"),OR(G376="Supported",G376="Wrong citation",G376="Missing citation"),OR(H376="Yes",H376="No"),I376&lt;&gt;"",OR(F376&lt;&gt;"Supported",E376&lt;&gt;""),OR(G376&lt;&gt;"Supported",AND(F376="Supported",D376&lt;&gt;"",E376&lt;&gt;""))),"Yes","No"))</f>
        <v/>
      </c>
    </row>
    <row r="377" spans="11:11">
      <c r="K377" s="11">
        <f>IF(OR(A377="",C377=""),"",IF(AND(COUNTIF(Responses!$A$6:$A$205,A377)=1,B377&lt;&gt;"",COUNTIFS($A$6:$A$2005,A377,$B$6:$B$2005,B377)=1,OR(F377="Supported",F377="Unsupported",F377="Contradicted"),OR(G377="Supported",G377="Wrong citation",G377="Missing citation"),OR(H377="Yes",H377="No"),I377&lt;&gt;"",OR(F377&lt;&gt;"Supported",E377&lt;&gt;""),OR(G377&lt;&gt;"Supported",AND(F377="Supported",D377&lt;&gt;"",E377&lt;&gt;""))),"Yes","No"))</f>
        <v/>
      </c>
    </row>
    <row r="378" spans="11:11">
      <c r="K378" s="11">
        <f>IF(OR(A378="",C378=""),"",IF(AND(COUNTIF(Responses!$A$6:$A$205,A378)=1,B378&lt;&gt;"",COUNTIFS($A$6:$A$2005,A378,$B$6:$B$2005,B378)=1,OR(F378="Supported",F378="Unsupported",F378="Contradicted"),OR(G378="Supported",G378="Wrong citation",G378="Missing citation"),OR(H378="Yes",H378="No"),I378&lt;&gt;"",OR(F378&lt;&gt;"Supported",E378&lt;&gt;""),OR(G378&lt;&gt;"Supported",AND(F378="Supported",D378&lt;&gt;"",E378&lt;&gt;""))),"Yes","No"))</f>
        <v/>
      </c>
    </row>
    <row r="379" spans="11:11">
      <c r="K379" s="11">
        <f>IF(OR(A379="",C379=""),"",IF(AND(COUNTIF(Responses!$A$6:$A$205,A379)=1,B379&lt;&gt;"",COUNTIFS($A$6:$A$2005,A379,$B$6:$B$2005,B379)=1,OR(F379="Supported",F379="Unsupported",F379="Contradicted"),OR(G379="Supported",G379="Wrong citation",G379="Missing citation"),OR(H379="Yes",H379="No"),I379&lt;&gt;"",OR(F379&lt;&gt;"Supported",E379&lt;&gt;""),OR(G379&lt;&gt;"Supported",AND(F379="Supported",D379&lt;&gt;"",E379&lt;&gt;""))),"Yes","No"))</f>
        <v/>
      </c>
    </row>
    <row r="380" spans="11:11">
      <c r="K380" s="11">
        <f>IF(OR(A380="",C380=""),"",IF(AND(COUNTIF(Responses!$A$6:$A$205,A380)=1,B380&lt;&gt;"",COUNTIFS($A$6:$A$2005,A380,$B$6:$B$2005,B380)=1,OR(F380="Supported",F380="Unsupported",F380="Contradicted"),OR(G380="Supported",G380="Wrong citation",G380="Missing citation"),OR(H380="Yes",H380="No"),I380&lt;&gt;"",OR(F380&lt;&gt;"Supported",E380&lt;&gt;""),OR(G380&lt;&gt;"Supported",AND(F380="Supported",D380&lt;&gt;"",E380&lt;&gt;""))),"Yes","No"))</f>
        <v/>
      </c>
    </row>
    <row r="381" spans="11:11">
      <c r="K381" s="11">
        <f>IF(OR(A381="",C381=""),"",IF(AND(COUNTIF(Responses!$A$6:$A$205,A381)=1,B381&lt;&gt;"",COUNTIFS($A$6:$A$2005,A381,$B$6:$B$2005,B381)=1,OR(F381="Supported",F381="Unsupported",F381="Contradicted"),OR(G381="Supported",G381="Wrong citation",G381="Missing citation"),OR(H381="Yes",H381="No"),I381&lt;&gt;"",OR(F381&lt;&gt;"Supported",E381&lt;&gt;""),OR(G381&lt;&gt;"Supported",AND(F381="Supported",D381&lt;&gt;"",E381&lt;&gt;""))),"Yes","No"))</f>
        <v/>
      </c>
    </row>
    <row r="382" spans="11:11">
      <c r="K382" s="11">
        <f>IF(OR(A382="",C382=""),"",IF(AND(COUNTIF(Responses!$A$6:$A$205,A382)=1,B382&lt;&gt;"",COUNTIFS($A$6:$A$2005,A382,$B$6:$B$2005,B382)=1,OR(F382="Supported",F382="Unsupported",F382="Contradicted"),OR(G382="Supported",G382="Wrong citation",G382="Missing citation"),OR(H382="Yes",H382="No"),I382&lt;&gt;"",OR(F382&lt;&gt;"Supported",E382&lt;&gt;""),OR(G382&lt;&gt;"Supported",AND(F382="Supported",D382&lt;&gt;"",E382&lt;&gt;""))),"Yes","No"))</f>
        <v/>
      </c>
    </row>
    <row r="383" spans="11:11">
      <c r="K383" s="11">
        <f>IF(OR(A383="",C383=""),"",IF(AND(COUNTIF(Responses!$A$6:$A$205,A383)=1,B383&lt;&gt;"",COUNTIFS($A$6:$A$2005,A383,$B$6:$B$2005,B383)=1,OR(F383="Supported",F383="Unsupported",F383="Contradicted"),OR(G383="Supported",G383="Wrong citation",G383="Missing citation"),OR(H383="Yes",H383="No"),I383&lt;&gt;"",OR(F383&lt;&gt;"Supported",E383&lt;&gt;""),OR(G383&lt;&gt;"Supported",AND(F383="Supported",D383&lt;&gt;"",E383&lt;&gt;""))),"Yes","No"))</f>
        <v/>
      </c>
    </row>
    <row r="384" spans="11:11">
      <c r="K384" s="11">
        <f>IF(OR(A384="",C384=""),"",IF(AND(COUNTIF(Responses!$A$6:$A$205,A384)=1,B384&lt;&gt;"",COUNTIFS($A$6:$A$2005,A384,$B$6:$B$2005,B384)=1,OR(F384="Supported",F384="Unsupported",F384="Contradicted"),OR(G384="Supported",G384="Wrong citation",G384="Missing citation"),OR(H384="Yes",H384="No"),I384&lt;&gt;"",OR(F384&lt;&gt;"Supported",E384&lt;&gt;""),OR(G384&lt;&gt;"Supported",AND(F384="Supported",D384&lt;&gt;"",E384&lt;&gt;""))),"Yes","No"))</f>
        <v/>
      </c>
    </row>
    <row r="385" spans="11:11">
      <c r="K385" s="11">
        <f>IF(OR(A385="",C385=""),"",IF(AND(COUNTIF(Responses!$A$6:$A$205,A385)=1,B385&lt;&gt;"",COUNTIFS($A$6:$A$2005,A385,$B$6:$B$2005,B385)=1,OR(F385="Supported",F385="Unsupported",F385="Contradicted"),OR(G385="Supported",G385="Wrong citation",G385="Missing citation"),OR(H385="Yes",H385="No"),I385&lt;&gt;"",OR(F385&lt;&gt;"Supported",E385&lt;&gt;""),OR(G385&lt;&gt;"Supported",AND(F385="Supported",D385&lt;&gt;"",E385&lt;&gt;""))),"Yes","No"))</f>
        <v/>
      </c>
    </row>
    <row r="386" spans="11:11">
      <c r="K386" s="11">
        <f>IF(OR(A386="",C386=""),"",IF(AND(COUNTIF(Responses!$A$6:$A$205,A386)=1,B386&lt;&gt;"",COUNTIFS($A$6:$A$2005,A386,$B$6:$B$2005,B386)=1,OR(F386="Supported",F386="Unsupported",F386="Contradicted"),OR(G386="Supported",G386="Wrong citation",G386="Missing citation"),OR(H386="Yes",H386="No"),I386&lt;&gt;"",OR(F386&lt;&gt;"Supported",E386&lt;&gt;""),OR(G386&lt;&gt;"Supported",AND(F386="Supported",D386&lt;&gt;"",E386&lt;&gt;""))),"Yes","No"))</f>
        <v/>
      </c>
    </row>
    <row r="387" spans="11:11">
      <c r="K387" s="11">
        <f>IF(OR(A387="",C387=""),"",IF(AND(COUNTIF(Responses!$A$6:$A$205,A387)=1,B387&lt;&gt;"",COUNTIFS($A$6:$A$2005,A387,$B$6:$B$2005,B387)=1,OR(F387="Supported",F387="Unsupported",F387="Contradicted"),OR(G387="Supported",G387="Wrong citation",G387="Missing citation"),OR(H387="Yes",H387="No"),I387&lt;&gt;"",OR(F387&lt;&gt;"Supported",E387&lt;&gt;""),OR(G387&lt;&gt;"Supported",AND(F387="Supported",D387&lt;&gt;"",E387&lt;&gt;""))),"Yes","No"))</f>
        <v/>
      </c>
    </row>
    <row r="388" spans="11:11">
      <c r="K388" s="11">
        <f>IF(OR(A388="",C388=""),"",IF(AND(COUNTIF(Responses!$A$6:$A$205,A388)=1,B388&lt;&gt;"",COUNTIFS($A$6:$A$2005,A388,$B$6:$B$2005,B388)=1,OR(F388="Supported",F388="Unsupported",F388="Contradicted"),OR(G388="Supported",G388="Wrong citation",G388="Missing citation"),OR(H388="Yes",H388="No"),I388&lt;&gt;"",OR(F388&lt;&gt;"Supported",E388&lt;&gt;""),OR(G388&lt;&gt;"Supported",AND(F388="Supported",D388&lt;&gt;"",E388&lt;&gt;""))),"Yes","No"))</f>
        <v/>
      </c>
    </row>
    <row r="389" spans="11:11">
      <c r="K389" s="11">
        <f>IF(OR(A389="",C389=""),"",IF(AND(COUNTIF(Responses!$A$6:$A$205,A389)=1,B389&lt;&gt;"",COUNTIFS($A$6:$A$2005,A389,$B$6:$B$2005,B389)=1,OR(F389="Supported",F389="Unsupported",F389="Contradicted"),OR(G389="Supported",G389="Wrong citation",G389="Missing citation"),OR(H389="Yes",H389="No"),I389&lt;&gt;"",OR(F389&lt;&gt;"Supported",E389&lt;&gt;""),OR(G389&lt;&gt;"Supported",AND(F389="Supported",D389&lt;&gt;"",E389&lt;&gt;""))),"Yes","No"))</f>
        <v/>
      </c>
    </row>
    <row r="390" spans="11:11">
      <c r="K390" s="11">
        <f>IF(OR(A390="",C390=""),"",IF(AND(COUNTIF(Responses!$A$6:$A$205,A390)=1,B390&lt;&gt;"",COUNTIFS($A$6:$A$2005,A390,$B$6:$B$2005,B390)=1,OR(F390="Supported",F390="Unsupported",F390="Contradicted"),OR(G390="Supported",G390="Wrong citation",G390="Missing citation"),OR(H390="Yes",H390="No"),I390&lt;&gt;"",OR(F390&lt;&gt;"Supported",E390&lt;&gt;""),OR(G390&lt;&gt;"Supported",AND(F390="Supported",D390&lt;&gt;"",E390&lt;&gt;""))),"Yes","No"))</f>
        <v/>
      </c>
    </row>
    <row r="391" spans="11:11">
      <c r="K391" s="11">
        <f>IF(OR(A391="",C391=""),"",IF(AND(COUNTIF(Responses!$A$6:$A$205,A391)=1,B391&lt;&gt;"",COUNTIFS($A$6:$A$2005,A391,$B$6:$B$2005,B391)=1,OR(F391="Supported",F391="Unsupported",F391="Contradicted"),OR(G391="Supported",G391="Wrong citation",G391="Missing citation"),OR(H391="Yes",H391="No"),I391&lt;&gt;"",OR(F391&lt;&gt;"Supported",E391&lt;&gt;""),OR(G391&lt;&gt;"Supported",AND(F391="Supported",D391&lt;&gt;"",E391&lt;&gt;""))),"Yes","No"))</f>
        <v/>
      </c>
    </row>
    <row r="392" spans="11:11">
      <c r="K392" s="11">
        <f>IF(OR(A392="",C392=""),"",IF(AND(COUNTIF(Responses!$A$6:$A$205,A392)=1,B392&lt;&gt;"",COUNTIFS($A$6:$A$2005,A392,$B$6:$B$2005,B392)=1,OR(F392="Supported",F392="Unsupported",F392="Contradicted"),OR(G392="Supported",G392="Wrong citation",G392="Missing citation"),OR(H392="Yes",H392="No"),I392&lt;&gt;"",OR(F392&lt;&gt;"Supported",E392&lt;&gt;""),OR(G392&lt;&gt;"Supported",AND(F392="Supported",D392&lt;&gt;"",E392&lt;&gt;""))),"Yes","No"))</f>
        <v/>
      </c>
    </row>
    <row r="393" spans="11:11">
      <c r="K393" s="11">
        <f>IF(OR(A393="",C393=""),"",IF(AND(COUNTIF(Responses!$A$6:$A$205,A393)=1,B393&lt;&gt;"",COUNTIFS($A$6:$A$2005,A393,$B$6:$B$2005,B393)=1,OR(F393="Supported",F393="Unsupported",F393="Contradicted"),OR(G393="Supported",G393="Wrong citation",G393="Missing citation"),OR(H393="Yes",H393="No"),I393&lt;&gt;"",OR(F393&lt;&gt;"Supported",E393&lt;&gt;""),OR(G393&lt;&gt;"Supported",AND(F393="Supported",D393&lt;&gt;"",E393&lt;&gt;""))),"Yes","No"))</f>
        <v/>
      </c>
    </row>
    <row r="394" spans="11:11">
      <c r="K394" s="11">
        <f>IF(OR(A394="",C394=""),"",IF(AND(COUNTIF(Responses!$A$6:$A$205,A394)=1,B394&lt;&gt;"",COUNTIFS($A$6:$A$2005,A394,$B$6:$B$2005,B394)=1,OR(F394="Supported",F394="Unsupported",F394="Contradicted"),OR(G394="Supported",G394="Wrong citation",G394="Missing citation"),OR(H394="Yes",H394="No"),I394&lt;&gt;"",OR(F394&lt;&gt;"Supported",E394&lt;&gt;""),OR(G394&lt;&gt;"Supported",AND(F394="Supported",D394&lt;&gt;"",E394&lt;&gt;""))),"Yes","No"))</f>
        <v/>
      </c>
    </row>
    <row r="395" spans="11:11">
      <c r="K395" s="11">
        <f>IF(OR(A395="",C395=""),"",IF(AND(COUNTIF(Responses!$A$6:$A$205,A395)=1,B395&lt;&gt;"",COUNTIFS($A$6:$A$2005,A395,$B$6:$B$2005,B395)=1,OR(F395="Supported",F395="Unsupported",F395="Contradicted"),OR(G395="Supported",G395="Wrong citation",G395="Missing citation"),OR(H395="Yes",H395="No"),I395&lt;&gt;"",OR(F395&lt;&gt;"Supported",E395&lt;&gt;""),OR(G395&lt;&gt;"Supported",AND(F395="Supported",D395&lt;&gt;"",E395&lt;&gt;""))),"Yes","No"))</f>
        <v/>
      </c>
    </row>
    <row r="396" spans="11:11">
      <c r="K396" s="11">
        <f>IF(OR(A396="",C396=""),"",IF(AND(COUNTIF(Responses!$A$6:$A$205,A396)=1,B396&lt;&gt;"",COUNTIFS($A$6:$A$2005,A396,$B$6:$B$2005,B396)=1,OR(F396="Supported",F396="Unsupported",F396="Contradicted"),OR(G396="Supported",G396="Wrong citation",G396="Missing citation"),OR(H396="Yes",H396="No"),I396&lt;&gt;"",OR(F396&lt;&gt;"Supported",E396&lt;&gt;""),OR(G396&lt;&gt;"Supported",AND(F396="Supported",D396&lt;&gt;"",E396&lt;&gt;""))),"Yes","No"))</f>
        <v/>
      </c>
    </row>
    <row r="397" spans="11:11">
      <c r="K397" s="11">
        <f>IF(OR(A397="",C397=""),"",IF(AND(COUNTIF(Responses!$A$6:$A$205,A397)=1,B397&lt;&gt;"",COUNTIFS($A$6:$A$2005,A397,$B$6:$B$2005,B397)=1,OR(F397="Supported",F397="Unsupported",F397="Contradicted"),OR(G397="Supported",G397="Wrong citation",G397="Missing citation"),OR(H397="Yes",H397="No"),I397&lt;&gt;"",OR(F397&lt;&gt;"Supported",E397&lt;&gt;""),OR(G397&lt;&gt;"Supported",AND(F397="Supported",D397&lt;&gt;"",E397&lt;&gt;""))),"Yes","No"))</f>
        <v/>
      </c>
    </row>
    <row r="398" spans="11:11">
      <c r="K398" s="11">
        <f>IF(OR(A398="",C398=""),"",IF(AND(COUNTIF(Responses!$A$6:$A$205,A398)=1,B398&lt;&gt;"",COUNTIFS($A$6:$A$2005,A398,$B$6:$B$2005,B398)=1,OR(F398="Supported",F398="Unsupported",F398="Contradicted"),OR(G398="Supported",G398="Wrong citation",G398="Missing citation"),OR(H398="Yes",H398="No"),I398&lt;&gt;"",OR(F398&lt;&gt;"Supported",E398&lt;&gt;""),OR(G398&lt;&gt;"Supported",AND(F398="Supported",D398&lt;&gt;"",E398&lt;&gt;""))),"Yes","No"))</f>
        <v/>
      </c>
    </row>
    <row r="399" spans="11:11">
      <c r="K399" s="11">
        <f>IF(OR(A399="",C399=""),"",IF(AND(COUNTIF(Responses!$A$6:$A$205,A399)=1,B399&lt;&gt;"",COUNTIFS($A$6:$A$2005,A399,$B$6:$B$2005,B399)=1,OR(F399="Supported",F399="Unsupported",F399="Contradicted"),OR(G399="Supported",G399="Wrong citation",G399="Missing citation"),OR(H399="Yes",H399="No"),I399&lt;&gt;"",OR(F399&lt;&gt;"Supported",E399&lt;&gt;""),OR(G399&lt;&gt;"Supported",AND(F399="Supported",D399&lt;&gt;"",E399&lt;&gt;""))),"Yes","No"))</f>
        <v/>
      </c>
    </row>
    <row r="400" spans="11:11">
      <c r="K400" s="11">
        <f>IF(OR(A400="",C400=""),"",IF(AND(COUNTIF(Responses!$A$6:$A$205,A400)=1,B400&lt;&gt;"",COUNTIFS($A$6:$A$2005,A400,$B$6:$B$2005,B400)=1,OR(F400="Supported",F400="Unsupported",F400="Contradicted"),OR(G400="Supported",G400="Wrong citation",G400="Missing citation"),OR(H400="Yes",H400="No"),I400&lt;&gt;"",OR(F400&lt;&gt;"Supported",E400&lt;&gt;""),OR(G400&lt;&gt;"Supported",AND(F400="Supported",D400&lt;&gt;"",E400&lt;&gt;""))),"Yes","No"))</f>
        <v/>
      </c>
    </row>
    <row r="401" spans="11:11">
      <c r="K401" s="11">
        <f>IF(OR(A401="",C401=""),"",IF(AND(COUNTIF(Responses!$A$6:$A$205,A401)=1,B401&lt;&gt;"",COUNTIFS($A$6:$A$2005,A401,$B$6:$B$2005,B401)=1,OR(F401="Supported",F401="Unsupported",F401="Contradicted"),OR(G401="Supported",G401="Wrong citation",G401="Missing citation"),OR(H401="Yes",H401="No"),I401&lt;&gt;"",OR(F401&lt;&gt;"Supported",E401&lt;&gt;""),OR(G401&lt;&gt;"Supported",AND(F401="Supported",D401&lt;&gt;"",E401&lt;&gt;""))),"Yes","No"))</f>
        <v/>
      </c>
    </row>
    <row r="402" spans="11:11">
      <c r="K402" s="11">
        <f>IF(OR(A402="",C402=""),"",IF(AND(COUNTIF(Responses!$A$6:$A$205,A402)=1,B402&lt;&gt;"",COUNTIFS($A$6:$A$2005,A402,$B$6:$B$2005,B402)=1,OR(F402="Supported",F402="Unsupported",F402="Contradicted"),OR(G402="Supported",G402="Wrong citation",G402="Missing citation"),OR(H402="Yes",H402="No"),I402&lt;&gt;"",OR(F402&lt;&gt;"Supported",E402&lt;&gt;""),OR(G402&lt;&gt;"Supported",AND(F402="Supported",D402&lt;&gt;"",E402&lt;&gt;""))),"Yes","No"))</f>
        <v/>
      </c>
    </row>
    <row r="403" spans="11:11">
      <c r="K403" s="11">
        <f>IF(OR(A403="",C403=""),"",IF(AND(COUNTIF(Responses!$A$6:$A$205,A403)=1,B403&lt;&gt;"",COUNTIFS($A$6:$A$2005,A403,$B$6:$B$2005,B403)=1,OR(F403="Supported",F403="Unsupported",F403="Contradicted"),OR(G403="Supported",G403="Wrong citation",G403="Missing citation"),OR(H403="Yes",H403="No"),I403&lt;&gt;"",OR(F403&lt;&gt;"Supported",E403&lt;&gt;""),OR(G403&lt;&gt;"Supported",AND(F403="Supported",D403&lt;&gt;"",E403&lt;&gt;""))),"Yes","No"))</f>
        <v/>
      </c>
    </row>
    <row r="404" spans="11:11">
      <c r="K404" s="11">
        <f>IF(OR(A404="",C404=""),"",IF(AND(COUNTIF(Responses!$A$6:$A$205,A404)=1,B404&lt;&gt;"",COUNTIFS($A$6:$A$2005,A404,$B$6:$B$2005,B404)=1,OR(F404="Supported",F404="Unsupported",F404="Contradicted"),OR(G404="Supported",G404="Wrong citation",G404="Missing citation"),OR(H404="Yes",H404="No"),I404&lt;&gt;"",OR(F404&lt;&gt;"Supported",E404&lt;&gt;""),OR(G404&lt;&gt;"Supported",AND(F404="Supported",D404&lt;&gt;"",E404&lt;&gt;""))),"Yes","No"))</f>
        <v/>
      </c>
    </row>
    <row r="405" spans="11:11">
      <c r="K405" s="11">
        <f>IF(OR(A405="",C405=""),"",IF(AND(COUNTIF(Responses!$A$6:$A$205,A405)=1,B405&lt;&gt;"",COUNTIFS($A$6:$A$2005,A405,$B$6:$B$2005,B405)=1,OR(F405="Supported",F405="Unsupported",F405="Contradicted"),OR(G405="Supported",G405="Wrong citation",G405="Missing citation"),OR(H405="Yes",H405="No"),I405&lt;&gt;"",OR(F405&lt;&gt;"Supported",E405&lt;&gt;""),OR(G405&lt;&gt;"Supported",AND(F405="Supported",D405&lt;&gt;"",E405&lt;&gt;""))),"Yes","No"))</f>
        <v/>
      </c>
    </row>
    <row r="406" spans="11:11">
      <c r="K406" s="11">
        <f>IF(OR(A406="",C406=""),"",IF(AND(COUNTIF(Responses!$A$6:$A$205,A406)=1,B406&lt;&gt;"",COUNTIFS($A$6:$A$2005,A406,$B$6:$B$2005,B406)=1,OR(F406="Supported",F406="Unsupported",F406="Contradicted"),OR(G406="Supported",G406="Wrong citation",G406="Missing citation"),OR(H406="Yes",H406="No"),I406&lt;&gt;"",OR(F406&lt;&gt;"Supported",E406&lt;&gt;""),OR(G406&lt;&gt;"Supported",AND(F406="Supported",D406&lt;&gt;"",E406&lt;&gt;""))),"Yes","No"))</f>
        <v/>
      </c>
    </row>
    <row r="407" spans="11:11">
      <c r="K407" s="11">
        <f>IF(OR(A407="",C407=""),"",IF(AND(COUNTIF(Responses!$A$6:$A$205,A407)=1,B407&lt;&gt;"",COUNTIFS($A$6:$A$2005,A407,$B$6:$B$2005,B407)=1,OR(F407="Supported",F407="Unsupported",F407="Contradicted"),OR(G407="Supported",G407="Wrong citation",G407="Missing citation"),OR(H407="Yes",H407="No"),I407&lt;&gt;"",OR(F407&lt;&gt;"Supported",E407&lt;&gt;""),OR(G407&lt;&gt;"Supported",AND(F407="Supported",D407&lt;&gt;"",E407&lt;&gt;""))),"Yes","No"))</f>
        <v/>
      </c>
    </row>
    <row r="408" spans="11:11">
      <c r="K408" s="11">
        <f>IF(OR(A408="",C408=""),"",IF(AND(COUNTIF(Responses!$A$6:$A$205,A408)=1,B408&lt;&gt;"",COUNTIFS($A$6:$A$2005,A408,$B$6:$B$2005,B408)=1,OR(F408="Supported",F408="Unsupported",F408="Contradicted"),OR(G408="Supported",G408="Wrong citation",G408="Missing citation"),OR(H408="Yes",H408="No"),I408&lt;&gt;"",OR(F408&lt;&gt;"Supported",E408&lt;&gt;""),OR(G408&lt;&gt;"Supported",AND(F408="Supported",D408&lt;&gt;"",E408&lt;&gt;""))),"Yes","No"))</f>
        <v/>
      </c>
    </row>
    <row r="409" spans="11:11">
      <c r="K409" s="11">
        <f>IF(OR(A409="",C409=""),"",IF(AND(COUNTIF(Responses!$A$6:$A$205,A409)=1,B409&lt;&gt;"",COUNTIFS($A$6:$A$2005,A409,$B$6:$B$2005,B409)=1,OR(F409="Supported",F409="Unsupported",F409="Contradicted"),OR(G409="Supported",G409="Wrong citation",G409="Missing citation"),OR(H409="Yes",H409="No"),I409&lt;&gt;"",OR(F409&lt;&gt;"Supported",E409&lt;&gt;""),OR(G409&lt;&gt;"Supported",AND(F409="Supported",D409&lt;&gt;"",E409&lt;&gt;""))),"Yes","No"))</f>
        <v/>
      </c>
    </row>
    <row r="410" spans="11:11">
      <c r="K410" s="11">
        <f>IF(OR(A410="",C410=""),"",IF(AND(COUNTIF(Responses!$A$6:$A$205,A410)=1,B410&lt;&gt;"",COUNTIFS($A$6:$A$2005,A410,$B$6:$B$2005,B410)=1,OR(F410="Supported",F410="Unsupported",F410="Contradicted"),OR(G410="Supported",G410="Wrong citation",G410="Missing citation"),OR(H410="Yes",H410="No"),I410&lt;&gt;"",OR(F410&lt;&gt;"Supported",E410&lt;&gt;""),OR(G410&lt;&gt;"Supported",AND(F410="Supported",D410&lt;&gt;"",E410&lt;&gt;""))),"Yes","No"))</f>
        <v/>
      </c>
    </row>
    <row r="411" spans="11:11">
      <c r="K411" s="11">
        <f>IF(OR(A411="",C411=""),"",IF(AND(COUNTIF(Responses!$A$6:$A$205,A411)=1,B411&lt;&gt;"",COUNTIFS($A$6:$A$2005,A411,$B$6:$B$2005,B411)=1,OR(F411="Supported",F411="Unsupported",F411="Contradicted"),OR(G411="Supported",G411="Wrong citation",G411="Missing citation"),OR(H411="Yes",H411="No"),I411&lt;&gt;"",OR(F411&lt;&gt;"Supported",E411&lt;&gt;""),OR(G411&lt;&gt;"Supported",AND(F411="Supported",D411&lt;&gt;"",E411&lt;&gt;""))),"Yes","No"))</f>
        <v/>
      </c>
    </row>
    <row r="412" spans="11:11">
      <c r="K412" s="11">
        <f>IF(OR(A412="",C412=""),"",IF(AND(COUNTIF(Responses!$A$6:$A$205,A412)=1,B412&lt;&gt;"",COUNTIFS($A$6:$A$2005,A412,$B$6:$B$2005,B412)=1,OR(F412="Supported",F412="Unsupported",F412="Contradicted"),OR(G412="Supported",G412="Wrong citation",G412="Missing citation"),OR(H412="Yes",H412="No"),I412&lt;&gt;"",OR(F412&lt;&gt;"Supported",E412&lt;&gt;""),OR(G412&lt;&gt;"Supported",AND(F412="Supported",D412&lt;&gt;"",E412&lt;&gt;""))),"Yes","No"))</f>
        <v/>
      </c>
    </row>
    <row r="413" spans="11:11">
      <c r="K413" s="11">
        <f>IF(OR(A413="",C413=""),"",IF(AND(COUNTIF(Responses!$A$6:$A$205,A413)=1,B413&lt;&gt;"",COUNTIFS($A$6:$A$2005,A413,$B$6:$B$2005,B413)=1,OR(F413="Supported",F413="Unsupported",F413="Contradicted"),OR(G413="Supported",G413="Wrong citation",G413="Missing citation"),OR(H413="Yes",H413="No"),I413&lt;&gt;"",OR(F413&lt;&gt;"Supported",E413&lt;&gt;""),OR(G413&lt;&gt;"Supported",AND(F413="Supported",D413&lt;&gt;"",E413&lt;&gt;""))),"Yes","No"))</f>
        <v/>
      </c>
    </row>
    <row r="414" spans="11:11">
      <c r="K414" s="11">
        <f>IF(OR(A414="",C414=""),"",IF(AND(COUNTIF(Responses!$A$6:$A$205,A414)=1,B414&lt;&gt;"",COUNTIFS($A$6:$A$2005,A414,$B$6:$B$2005,B414)=1,OR(F414="Supported",F414="Unsupported",F414="Contradicted"),OR(G414="Supported",G414="Wrong citation",G414="Missing citation"),OR(H414="Yes",H414="No"),I414&lt;&gt;"",OR(F414&lt;&gt;"Supported",E414&lt;&gt;""),OR(G414&lt;&gt;"Supported",AND(F414="Supported",D414&lt;&gt;"",E414&lt;&gt;""))),"Yes","No"))</f>
        <v/>
      </c>
    </row>
    <row r="415" spans="11:11">
      <c r="K415" s="11">
        <f>IF(OR(A415="",C415=""),"",IF(AND(COUNTIF(Responses!$A$6:$A$205,A415)=1,B415&lt;&gt;"",COUNTIFS($A$6:$A$2005,A415,$B$6:$B$2005,B415)=1,OR(F415="Supported",F415="Unsupported",F415="Contradicted"),OR(G415="Supported",G415="Wrong citation",G415="Missing citation"),OR(H415="Yes",H415="No"),I415&lt;&gt;"",OR(F415&lt;&gt;"Supported",E415&lt;&gt;""),OR(G415&lt;&gt;"Supported",AND(F415="Supported",D415&lt;&gt;"",E415&lt;&gt;""))),"Yes","No"))</f>
        <v/>
      </c>
    </row>
    <row r="416" spans="11:11">
      <c r="K416" s="11">
        <f>IF(OR(A416="",C416=""),"",IF(AND(COUNTIF(Responses!$A$6:$A$205,A416)=1,B416&lt;&gt;"",COUNTIFS($A$6:$A$2005,A416,$B$6:$B$2005,B416)=1,OR(F416="Supported",F416="Unsupported",F416="Contradicted"),OR(G416="Supported",G416="Wrong citation",G416="Missing citation"),OR(H416="Yes",H416="No"),I416&lt;&gt;"",OR(F416&lt;&gt;"Supported",E416&lt;&gt;""),OR(G416&lt;&gt;"Supported",AND(F416="Supported",D416&lt;&gt;"",E416&lt;&gt;""))),"Yes","No"))</f>
        <v/>
      </c>
    </row>
    <row r="417" spans="11:11">
      <c r="K417" s="11">
        <f>IF(OR(A417="",C417=""),"",IF(AND(COUNTIF(Responses!$A$6:$A$205,A417)=1,B417&lt;&gt;"",COUNTIFS($A$6:$A$2005,A417,$B$6:$B$2005,B417)=1,OR(F417="Supported",F417="Unsupported",F417="Contradicted"),OR(G417="Supported",G417="Wrong citation",G417="Missing citation"),OR(H417="Yes",H417="No"),I417&lt;&gt;"",OR(F417&lt;&gt;"Supported",E417&lt;&gt;""),OR(G417&lt;&gt;"Supported",AND(F417="Supported",D417&lt;&gt;"",E417&lt;&gt;""))),"Yes","No"))</f>
        <v/>
      </c>
    </row>
    <row r="418" spans="11:11">
      <c r="K418" s="11">
        <f>IF(OR(A418="",C418=""),"",IF(AND(COUNTIF(Responses!$A$6:$A$205,A418)=1,B418&lt;&gt;"",COUNTIFS($A$6:$A$2005,A418,$B$6:$B$2005,B418)=1,OR(F418="Supported",F418="Unsupported",F418="Contradicted"),OR(G418="Supported",G418="Wrong citation",G418="Missing citation"),OR(H418="Yes",H418="No"),I418&lt;&gt;"",OR(F418&lt;&gt;"Supported",E418&lt;&gt;""),OR(G418&lt;&gt;"Supported",AND(F418="Supported",D418&lt;&gt;"",E418&lt;&gt;""))),"Yes","No"))</f>
        <v/>
      </c>
    </row>
    <row r="419" spans="11:11">
      <c r="K419" s="11">
        <f>IF(OR(A419="",C419=""),"",IF(AND(COUNTIF(Responses!$A$6:$A$205,A419)=1,B419&lt;&gt;"",COUNTIFS($A$6:$A$2005,A419,$B$6:$B$2005,B419)=1,OR(F419="Supported",F419="Unsupported",F419="Contradicted"),OR(G419="Supported",G419="Wrong citation",G419="Missing citation"),OR(H419="Yes",H419="No"),I419&lt;&gt;"",OR(F419&lt;&gt;"Supported",E419&lt;&gt;""),OR(G419&lt;&gt;"Supported",AND(F419="Supported",D419&lt;&gt;"",E419&lt;&gt;""))),"Yes","No"))</f>
        <v/>
      </c>
    </row>
    <row r="420" spans="11:11">
      <c r="K420" s="11">
        <f>IF(OR(A420="",C420=""),"",IF(AND(COUNTIF(Responses!$A$6:$A$205,A420)=1,B420&lt;&gt;"",COUNTIFS($A$6:$A$2005,A420,$B$6:$B$2005,B420)=1,OR(F420="Supported",F420="Unsupported",F420="Contradicted"),OR(G420="Supported",G420="Wrong citation",G420="Missing citation"),OR(H420="Yes",H420="No"),I420&lt;&gt;"",OR(F420&lt;&gt;"Supported",E420&lt;&gt;""),OR(G420&lt;&gt;"Supported",AND(F420="Supported",D420&lt;&gt;"",E420&lt;&gt;""))),"Yes","No"))</f>
        <v/>
      </c>
    </row>
    <row r="421" spans="11:11">
      <c r="K421" s="11">
        <f>IF(OR(A421="",C421=""),"",IF(AND(COUNTIF(Responses!$A$6:$A$205,A421)=1,B421&lt;&gt;"",COUNTIFS($A$6:$A$2005,A421,$B$6:$B$2005,B421)=1,OR(F421="Supported",F421="Unsupported",F421="Contradicted"),OR(G421="Supported",G421="Wrong citation",G421="Missing citation"),OR(H421="Yes",H421="No"),I421&lt;&gt;"",OR(F421&lt;&gt;"Supported",E421&lt;&gt;""),OR(G421&lt;&gt;"Supported",AND(F421="Supported",D421&lt;&gt;"",E421&lt;&gt;""))),"Yes","No"))</f>
        <v/>
      </c>
    </row>
    <row r="422" spans="11:11">
      <c r="K422" s="11">
        <f>IF(OR(A422="",C422=""),"",IF(AND(COUNTIF(Responses!$A$6:$A$205,A422)=1,B422&lt;&gt;"",COUNTIFS($A$6:$A$2005,A422,$B$6:$B$2005,B422)=1,OR(F422="Supported",F422="Unsupported",F422="Contradicted"),OR(G422="Supported",G422="Wrong citation",G422="Missing citation"),OR(H422="Yes",H422="No"),I422&lt;&gt;"",OR(F422&lt;&gt;"Supported",E422&lt;&gt;""),OR(G422&lt;&gt;"Supported",AND(F422="Supported",D422&lt;&gt;"",E422&lt;&gt;""))),"Yes","No"))</f>
        <v/>
      </c>
    </row>
    <row r="423" spans="11:11">
      <c r="K423" s="11">
        <f>IF(OR(A423="",C423=""),"",IF(AND(COUNTIF(Responses!$A$6:$A$205,A423)=1,B423&lt;&gt;"",COUNTIFS($A$6:$A$2005,A423,$B$6:$B$2005,B423)=1,OR(F423="Supported",F423="Unsupported",F423="Contradicted"),OR(G423="Supported",G423="Wrong citation",G423="Missing citation"),OR(H423="Yes",H423="No"),I423&lt;&gt;"",OR(F423&lt;&gt;"Supported",E423&lt;&gt;""),OR(G423&lt;&gt;"Supported",AND(F423="Supported",D423&lt;&gt;"",E423&lt;&gt;""))),"Yes","No"))</f>
        <v/>
      </c>
    </row>
    <row r="424" spans="11:11">
      <c r="K424" s="11">
        <f>IF(OR(A424="",C424=""),"",IF(AND(COUNTIF(Responses!$A$6:$A$205,A424)=1,B424&lt;&gt;"",COUNTIFS($A$6:$A$2005,A424,$B$6:$B$2005,B424)=1,OR(F424="Supported",F424="Unsupported",F424="Contradicted"),OR(G424="Supported",G424="Wrong citation",G424="Missing citation"),OR(H424="Yes",H424="No"),I424&lt;&gt;"",OR(F424&lt;&gt;"Supported",E424&lt;&gt;""),OR(G424&lt;&gt;"Supported",AND(F424="Supported",D424&lt;&gt;"",E424&lt;&gt;""))),"Yes","No"))</f>
        <v/>
      </c>
    </row>
    <row r="425" spans="11:11">
      <c r="K425" s="11">
        <f>IF(OR(A425="",C425=""),"",IF(AND(COUNTIF(Responses!$A$6:$A$205,A425)=1,B425&lt;&gt;"",COUNTIFS($A$6:$A$2005,A425,$B$6:$B$2005,B425)=1,OR(F425="Supported",F425="Unsupported",F425="Contradicted"),OR(G425="Supported",G425="Wrong citation",G425="Missing citation"),OR(H425="Yes",H425="No"),I425&lt;&gt;"",OR(F425&lt;&gt;"Supported",E425&lt;&gt;""),OR(G425&lt;&gt;"Supported",AND(F425="Supported",D425&lt;&gt;"",E425&lt;&gt;""))),"Yes","No"))</f>
        <v/>
      </c>
    </row>
    <row r="426" spans="11:11">
      <c r="K426" s="11">
        <f>IF(OR(A426="",C426=""),"",IF(AND(COUNTIF(Responses!$A$6:$A$205,A426)=1,B426&lt;&gt;"",COUNTIFS($A$6:$A$2005,A426,$B$6:$B$2005,B426)=1,OR(F426="Supported",F426="Unsupported",F426="Contradicted"),OR(G426="Supported",G426="Wrong citation",G426="Missing citation"),OR(H426="Yes",H426="No"),I426&lt;&gt;"",OR(F426&lt;&gt;"Supported",E426&lt;&gt;""),OR(G426&lt;&gt;"Supported",AND(F426="Supported",D426&lt;&gt;"",E426&lt;&gt;""))),"Yes","No"))</f>
        <v/>
      </c>
    </row>
    <row r="427" spans="11:11">
      <c r="K427" s="11">
        <f>IF(OR(A427="",C427=""),"",IF(AND(COUNTIF(Responses!$A$6:$A$205,A427)=1,B427&lt;&gt;"",COUNTIFS($A$6:$A$2005,A427,$B$6:$B$2005,B427)=1,OR(F427="Supported",F427="Unsupported",F427="Contradicted"),OR(G427="Supported",G427="Wrong citation",G427="Missing citation"),OR(H427="Yes",H427="No"),I427&lt;&gt;"",OR(F427&lt;&gt;"Supported",E427&lt;&gt;""),OR(G427&lt;&gt;"Supported",AND(F427="Supported",D427&lt;&gt;"",E427&lt;&gt;""))),"Yes","No"))</f>
        <v/>
      </c>
    </row>
    <row r="428" spans="11:11">
      <c r="K428" s="11">
        <f>IF(OR(A428="",C428=""),"",IF(AND(COUNTIF(Responses!$A$6:$A$205,A428)=1,B428&lt;&gt;"",COUNTIFS($A$6:$A$2005,A428,$B$6:$B$2005,B428)=1,OR(F428="Supported",F428="Unsupported",F428="Contradicted"),OR(G428="Supported",G428="Wrong citation",G428="Missing citation"),OR(H428="Yes",H428="No"),I428&lt;&gt;"",OR(F428&lt;&gt;"Supported",E428&lt;&gt;""),OR(G428&lt;&gt;"Supported",AND(F428="Supported",D428&lt;&gt;"",E428&lt;&gt;""))),"Yes","No"))</f>
        <v/>
      </c>
    </row>
    <row r="429" spans="11:11">
      <c r="K429" s="11">
        <f>IF(OR(A429="",C429=""),"",IF(AND(COUNTIF(Responses!$A$6:$A$205,A429)=1,B429&lt;&gt;"",COUNTIFS($A$6:$A$2005,A429,$B$6:$B$2005,B429)=1,OR(F429="Supported",F429="Unsupported",F429="Contradicted"),OR(G429="Supported",G429="Wrong citation",G429="Missing citation"),OR(H429="Yes",H429="No"),I429&lt;&gt;"",OR(F429&lt;&gt;"Supported",E429&lt;&gt;""),OR(G429&lt;&gt;"Supported",AND(F429="Supported",D429&lt;&gt;"",E429&lt;&gt;""))),"Yes","No"))</f>
        <v/>
      </c>
    </row>
    <row r="430" spans="11:11">
      <c r="K430" s="11">
        <f>IF(OR(A430="",C430=""),"",IF(AND(COUNTIF(Responses!$A$6:$A$205,A430)=1,B430&lt;&gt;"",COUNTIFS($A$6:$A$2005,A430,$B$6:$B$2005,B430)=1,OR(F430="Supported",F430="Unsupported",F430="Contradicted"),OR(G430="Supported",G430="Wrong citation",G430="Missing citation"),OR(H430="Yes",H430="No"),I430&lt;&gt;"",OR(F430&lt;&gt;"Supported",E430&lt;&gt;""),OR(G430&lt;&gt;"Supported",AND(F430="Supported",D430&lt;&gt;"",E430&lt;&gt;""))),"Yes","No"))</f>
        <v/>
      </c>
    </row>
    <row r="431" spans="11:11">
      <c r="K431" s="11">
        <f>IF(OR(A431="",C431=""),"",IF(AND(COUNTIF(Responses!$A$6:$A$205,A431)=1,B431&lt;&gt;"",COUNTIFS($A$6:$A$2005,A431,$B$6:$B$2005,B431)=1,OR(F431="Supported",F431="Unsupported",F431="Contradicted"),OR(G431="Supported",G431="Wrong citation",G431="Missing citation"),OR(H431="Yes",H431="No"),I431&lt;&gt;"",OR(F431&lt;&gt;"Supported",E431&lt;&gt;""),OR(G431&lt;&gt;"Supported",AND(F431="Supported",D431&lt;&gt;"",E431&lt;&gt;""))),"Yes","No"))</f>
        <v/>
      </c>
    </row>
    <row r="432" spans="11:11">
      <c r="K432" s="11">
        <f>IF(OR(A432="",C432=""),"",IF(AND(COUNTIF(Responses!$A$6:$A$205,A432)=1,B432&lt;&gt;"",COUNTIFS($A$6:$A$2005,A432,$B$6:$B$2005,B432)=1,OR(F432="Supported",F432="Unsupported",F432="Contradicted"),OR(G432="Supported",G432="Wrong citation",G432="Missing citation"),OR(H432="Yes",H432="No"),I432&lt;&gt;"",OR(F432&lt;&gt;"Supported",E432&lt;&gt;""),OR(G432&lt;&gt;"Supported",AND(F432="Supported",D432&lt;&gt;"",E432&lt;&gt;""))),"Yes","No"))</f>
        <v/>
      </c>
    </row>
    <row r="433" spans="11:11">
      <c r="K433" s="11">
        <f>IF(OR(A433="",C433=""),"",IF(AND(COUNTIF(Responses!$A$6:$A$205,A433)=1,B433&lt;&gt;"",COUNTIFS($A$6:$A$2005,A433,$B$6:$B$2005,B433)=1,OR(F433="Supported",F433="Unsupported",F433="Contradicted"),OR(G433="Supported",G433="Wrong citation",G433="Missing citation"),OR(H433="Yes",H433="No"),I433&lt;&gt;"",OR(F433&lt;&gt;"Supported",E433&lt;&gt;""),OR(G433&lt;&gt;"Supported",AND(F433="Supported",D433&lt;&gt;"",E433&lt;&gt;""))),"Yes","No"))</f>
        <v/>
      </c>
    </row>
    <row r="434" spans="11:11">
      <c r="K434" s="11">
        <f>IF(OR(A434="",C434=""),"",IF(AND(COUNTIF(Responses!$A$6:$A$205,A434)=1,B434&lt;&gt;"",COUNTIFS($A$6:$A$2005,A434,$B$6:$B$2005,B434)=1,OR(F434="Supported",F434="Unsupported",F434="Contradicted"),OR(G434="Supported",G434="Wrong citation",G434="Missing citation"),OR(H434="Yes",H434="No"),I434&lt;&gt;"",OR(F434&lt;&gt;"Supported",E434&lt;&gt;""),OR(G434&lt;&gt;"Supported",AND(F434="Supported",D434&lt;&gt;"",E434&lt;&gt;""))),"Yes","No"))</f>
        <v/>
      </c>
    </row>
    <row r="435" spans="11:11">
      <c r="K435" s="11">
        <f>IF(OR(A435="",C435=""),"",IF(AND(COUNTIF(Responses!$A$6:$A$205,A435)=1,B435&lt;&gt;"",COUNTIFS($A$6:$A$2005,A435,$B$6:$B$2005,B435)=1,OR(F435="Supported",F435="Unsupported",F435="Contradicted"),OR(G435="Supported",G435="Wrong citation",G435="Missing citation"),OR(H435="Yes",H435="No"),I435&lt;&gt;"",OR(F435&lt;&gt;"Supported",E435&lt;&gt;""),OR(G435&lt;&gt;"Supported",AND(F435="Supported",D435&lt;&gt;"",E435&lt;&gt;""))),"Yes","No"))</f>
        <v/>
      </c>
    </row>
    <row r="436" spans="11:11">
      <c r="K436" s="11">
        <f>IF(OR(A436="",C436=""),"",IF(AND(COUNTIF(Responses!$A$6:$A$205,A436)=1,B436&lt;&gt;"",COUNTIFS($A$6:$A$2005,A436,$B$6:$B$2005,B436)=1,OR(F436="Supported",F436="Unsupported",F436="Contradicted"),OR(G436="Supported",G436="Wrong citation",G436="Missing citation"),OR(H436="Yes",H436="No"),I436&lt;&gt;"",OR(F436&lt;&gt;"Supported",E436&lt;&gt;""),OR(G436&lt;&gt;"Supported",AND(F436="Supported",D436&lt;&gt;"",E436&lt;&gt;""))),"Yes","No"))</f>
        <v/>
      </c>
    </row>
    <row r="437" spans="11:11">
      <c r="K437" s="11">
        <f>IF(OR(A437="",C437=""),"",IF(AND(COUNTIF(Responses!$A$6:$A$205,A437)=1,B437&lt;&gt;"",COUNTIFS($A$6:$A$2005,A437,$B$6:$B$2005,B437)=1,OR(F437="Supported",F437="Unsupported",F437="Contradicted"),OR(G437="Supported",G437="Wrong citation",G437="Missing citation"),OR(H437="Yes",H437="No"),I437&lt;&gt;"",OR(F437&lt;&gt;"Supported",E437&lt;&gt;""),OR(G437&lt;&gt;"Supported",AND(F437="Supported",D437&lt;&gt;"",E437&lt;&gt;""))),"Yes","No"))</f>
        <v/>
      </c>
    </row>
    <row r="438" spans="11:11">
      <c r="K438" s="11">
        <f>IF(OR(A438="",C438=""),"",IF(AND(COUNTIF(Responses!$A$6:$A$205,A438)=1,B438&lt;&gt;"",COUNTIFS($A$6:$A$2005,A438,$B$6:$B$2005,B438)=1,OR(F438="Supported",F438="Unsupported",F438="Contradicted"),OR(G438="Supported",G438="Wrong citation",G438="Missing citation"),OR(H438="Yes",H438="No"),I438&lt;&gt;"",OR(F438&lt;&gt;"Supported",E438&lt;&gt;""),OR(G438&lt;&gt;"Supported",AND(F438="Supported",D438&lt;&gt;"",E438&lt;&gt;""))),"Yes","No"))</f>
        <v/>
      </c>
    </row>
    <row r="439" spans="11:11">
      <c r="K439" s="11">
        <f>IF(OR(A439="",C439=""),"",IF(AND(COUNTIF(Responses!$A$6:$A$205,A439)=1,B439&lt;&gt;"",COUNTIFS($A$6:$A$2005,A439,$B$6:$B$2005,B439)=1,OR(F439="Supported",F439="Unsupported",F439="Contradicted"),OR(G439="Supported",G439="Wrong citation",G439="Missing citation"),OR(H439="Yes",H439="No"),I439&lt;&gt;"",OR(F439&lt;&gt;"Supported",E439&lt;&gt;""),OR(G439&lt;&gt;"Supported",AND(F439="Supported",D439&lt;&gt;"",E439&lt;&gt;""))),"Yes","No"))</f>
        <v/>
      </c>
    </row>
    <row r="440" spans="11:11">
      <c r="K440" s="11">
        <f>IF(OR(A440="",C440=""),"",IF(AND(COUNTIF(Responses!$A$6:$A$205,A440)=1,B440&lt;&gt;"",COUNTIFS($A$6:$A$2005,A440,$B$6:$B$2005,B440)=1,OR(F440="Supported",F440="Unsupported",F440="Contradicted"),OR(G440="Supported",G440="Wrong citation",G440="Missing citation"),OR(H440="Yes",H440="No"),I440&lt;&gt;"",OR(F440&lt;&gt;"Supported",E440&lt;&gt;""),OR(G440&lt;&gt;"Supported",AND(F440="Supported",D440&lt;&gt;"",E440&lt;&gt;""))),"Yes","No"))</f>
        <v/>
      </c>
    </row>
    <row r="441" spans="11:11">
      <c r="K441" s="11">
        <f>IF(OR(A441="",C441=""),"",IF(AND(COUNTIF(Responses!$A$6:$A$205,A441)=1,B441&lt;&gt;"",COUNTIFS($A$6:$A$2005,A441,$B$6:$B$2005,B441)=1,OR(F441="Supported",F441="Unsupported",F441="Contradicted"),OR(G441="Supported",G441="Wrong citation",G441="Missing citation"),OR(H441="Yes",H441="No"),I441&lt;&gt;"",OR(F441&lt;&gt;"Supported",E441&lt;&gt;""),OR(G441&lt;&gt;"Supported",AND(F441="Supported",D441&lt;&gt;"",E441&lt;&gt;""))),"Yes","No"))</f>
        <v/>
      </c>
    </row>
    <row r="442" spans="11:11">
      <c r="K442" s="11">
        <f>IF(OR(A442="",C442=""),"",IF(AND(COUNTIF(Responses!$A$6:$A$205,A442)=1,B442&lt;&gt;"",COUNTIFS($A$6:$A$2005,A442,$B$6:$B$2005,B442)=1,OR(F442="Supported",F442="Unsupported",F442="Contradicted"),OR(G442="Supported",G442="Wrong citation",G442="Missing citation"),OR(H442="Yes",H442="No"),I442&lt;&gt;"",OR(F442&lt;&gt;"Supported",E442&lt;&gt;""),OR(G442&lt;&gt;"Supported",AND(F442="Supported",D442&lt;&gt;"",E442&lt;&gt;""))),"Yes","No"))</f>
        <v/>
      </c>
    </row>
    <row r="443" spans="11:11">
      <c r="K443" s="11">
        <f>IF(OR(A443="",C443=""),"",IF(AND(COUNTIF(Responses!$A$6:$A$205,A443)=1,B443&lt;&gt;"",COUNTIFS($A$6:$A$2005,A443,$B$6:$B$2005,B443)=1,OR(F443="Supported",F443="Unsupported",F443="Contradicted"),OR(G443="Supported",G443="Wrong citation",G443="Missing citation"),OR(H443="Yes",H443="No"),I443&lt;&gt;"",OR(F443&lt;&gt;"Supported",E443&lt;&gt;""),OR(G443&lt;&gt;"Supported",AND(F443="Supported",D443&lt;&gt;"",E443&lt;&gt;""))),"Yes","No"))</f>
        <v/>
      </c>
    </row>
    <row r="444" spans="11:11">
      <c r="K444" s="11">
        <f>IF(OR(A444="",C444=""),"",IF(AND(COUNTIF(Responses!$A$6:$A$205,A444)=1,B444&lt;&gt;"",COUNTIFS($A$6:$A$2005,A444,$B$6:$B$2005,B444)=1,OR(F444="Supported",F444="Unsupported",F444="Contradicted"),OR(G444="Supported",G444="Wrong citation",G444="Missing citation"),OR(H444="Yes",H444="No"),I444&lt;&gt;"",OR(F444&lt;&gt;"Supported",E444&lt;&gt;""),OR(G444&lt;&gt;"Supported",AND(F444="Supported",D444&lt;&gt;"",E444&lt;&gt;""))),"Yes","No"))</f>
        <v/>
      </c>
    </row>
    <row r="445" spans="11:11">
      <c r="K445" s="11">
        <f>IF(OR(A445="",C445=""),"",IF(AND(COUNTIF(Responses!$A$6:$A$205,A445)=1,B445&lt;&gt;"",COUNTIFS($A$6:$A$2005,A445,$B$6:$B$2005,B445)=1,OR(F445="Supported",F445="Unsupported",F445="Contradicted"),OR(G445="Supported",G445="Wrong citation",G445="Missing citation"),OR(H445="Yes",H445="No"),I445&lt;&gt;"",OR(F445&lt;&gt;"Supported",E445&lt;&gt;""),OR(G445&lt;&gt;"Supported",AND(F445="Supported",D445&lt;&gt;"",E445&lt;&gt;""))),"Yes","No"))</f>
        <v/>
      </c>
    </row>
    <row r="446" spans="11:11">
      <c r="K446" s="11">
        <f>IF(OR(A446="",C446=""),"",IF(AND(COUNTIF(Responses!$A$6:$A$205,A446)=1,B446&lt;&gt;"",COUNTIFS($A$6:$A$2005,A446,$B$6:$B$2005,B446)=1,OR(F446="Supported",F446="Unsupported",F446="Contradicted"),OR(G446="Supported",G446="Wrong citation",G446="Missing citation"),OR(H446="Yes",H446="No"),I446&lt;&gt;"",OR(F446&lt;&gt;"Supported",E446&lt;&gt;""),OR(G446&lt;&gt;"Supported",AND(F446="Supported",D446&lt;&gt;"",E446&lt;&gt;""))),"Yes","No"))</f>
        <v/>
      </c>
    </row>
    <row r="447" spans="11:11">
      <c r="K447" s="11">
        <f>IF(OR(A447="",C447=""),"",IF(AND(COUNTIF(Responses!$A$6:$A$205,A447)=1,B447&lt;&gt;"",COUNTIFS($A$6:$A$2005,A447,$B$6:$B$2005,B447)=1,OR(F447="Supported",F447="Unsupported",F447="Contradicted"),OR(G447="Supported",G447="Wrong citation",G447="Missing citation"),OR(H447="Yes",H447="No"),I447&lt;&gt;"",OR(F447&lt;&gt;"Supported",E447&lt;&gt;""),OR(G447&lt;&gt;"Supported",AND(F447="Supported",D447&lt;&gt;"",E447&lt;&gt;""))),"Yes","No"))</f>
        <v/>
      </c>
    </row>
    <row r="448" spans="11:11">
      <c r="K448" s="11">
        <f>IF(OR(A448="",C448=""),"",IF(AND(COUNTIF(Responses!$A$6:$A$205,A448)=1,B448&lt;&gt;"",COUNTIFS($A$6:$A$2005,A448,$B$6:$B$2005,B448)=1,OR(F448="Supported",F448="Unsupported",F448="Contradicted"),OR(G448="Supported",G448="Wrong citation",G448="Missing citation"),OR(H448="Yes",H448="No"),I448&lt;&gt;"",OR(F448&lt;&gt;"Supported",E448&lt;&gt;""),OR(G448&lt;&gt;"Supported",AND(F448="Supported",D448&lt;&gt;"",E448&lt;&gt;""))),"Yes","No"))</f>
        <v/>
      </c>
    </row>
    <row r="449" spans="11:11">
      <c r="K449" s="11">
        <f>IF(OR(A449="",C449=""),"",IF(AND(COUNTIF(Responses!$A$6:$A$205,A449)=1,B449&lt;&gt;"",COUNTIFS($A$6:$A$2005,A449,$B$6:$B$2005,B449)=1,OR(F449="Supported",F449="Unsupported",F449="Contradicted"),OR(G449="Supported",G449="Wrong citation",G449="Missing citation"),OR(H449="Yes",H449="No"),I449&lt;&gt;"",OR(F449&lt;&gt;"Supported",E449&lt;&gt;""),OR(G449&lt;&gt;"Supported",AND(F449="Supported",D449&lt;&gt;"",E449&lt;&gt;""))),"Yes","No"))</f>
        <v/>
      </c>
    </row>
    <row r="450" spans="11:11">
      <c r="K450" s="11">
        <f>IF(OR(A450="",C450=""),"",IF(AND(COUNTIF(Responses!$A$6:$A$205,A450)=1,B450&lt;&gt;"",COUNTIFS($A$6:$A$2005,A450,$B$6:$B$2005,B450)=1,OR(F450="Supported",F450="Unsupported",F450="Contradicted"),OR(G450="Supported",G450="Wrong citation",G450="Missing citation"),OR(H450="Yes",H450="No"),I450&lt;&gt;"",OR(F450&lt;&gt;"Supported",E450&lt;&gt;""),OR(G450&lt;&gt;"Supported",AND(F450="Supported",D450&lt;&gt;"",E450&lt;&gt;""))),"Yes","No"))</f>
        <v/>
      </c>
    </row>
    <row r="451" spans="11:11">
      <c r="K451" s="11">
        <f>IF(OR(A451="",C451=""),"",IF(AND(COUNTIF(Responses!$A$6:$A$205,A451)=1,B451&lt;&gt;"",COUNTIFS($A$6:$A$2005,A451,$B$6:$B$2005,B451)=1,OR(F451="Supported",F451="Unsupported",F451="Contradicted"),OR(G451="Supported",G451="Wrong citation",G451="Missing citation"),OR(H451="Yes",H451="No"),I451&lt;&gt;"",OR(F451&lt;&gt;"Supported",E451&lt;&gt;""),OR(G451&lt;&gt;"Supported",AND(F451="Supported",D451&lt;&gt;"",E451&lt;&gt;""))),"Yes","No"))</f>
        <v/>
      </c>
    </row>
    <row r="452" spans="11:11">
      <c r="K452" s="11">
        <f>IF(OR(A452="",C452=""),"",IF(AND(COUNTIF(Responses!$A$6:$A$205,A452)=1,B452&lt;&gt;"",COUNTIFS($A$6:$A$2005,A452,$B$6:$B$2005,B452)=1,OR(F452="Supported",F452="Unsupported",F452="Contradicted"),OR(G452="Supported",G452="Wrong citation",G452="Missing citation"),OR(H452="Yes",H452="No"),I452&lt;&gt;"",OR(F452&lt;&gt;"Supported",E452&lt;&gt;""),OR(G452&lt;&gt;"Supported",AND(F452="Supported",D452&lt;&gt;"",E452&lt;&gt;""))),"Yes","No"))</f>
        <v/>
      </c>
    </row>
    <row r="453" spans="11:11">
      <c r="K453" s="11">
        <f>IF(OR(A453="",C453=""),"",IF(AND(COUNTIF(Responses!$A$6:$A$205,A453)=1,B453&lt;&gt;"",COUNTIFS($A$6:$A$2005,A453,$B$6:$B$2005,B453)=1,OR(F453="Supported",F453="Unsupported",F453="Contradicted"),OR(G453="Supported",G453="Wrong citation",G453="Missing citation"),OR(H453="Yes",H453="No"),I453&lt;&gt;"",OR(F453&lt;&gt;"Supported",E453&lt;&gt;""),OR(G453&lt;&gt;"Supported",AND(F453="Supported",D453&lt;&gt;"",E453&lt;&gt;""))),"Yes","No"))</f>
        <v/>
      </c>
    </row>
    <row r="454" spans="11:11">
      <c r="K454" s="11">
        <f>IF(OR(A454="",C454=""),"",IF(AND(COUNTIF(Responses!$A$6:$A$205,A454)=1,B454&lt;&gt;"",COUNTIFS($A$6:$A$2005,A454,$B$6:$B$2005,B454)=1,OR(F454="Supported",F454="Unsupported",F454="Contradicted"),OR(G454="Supported",G454="Wrong citation",G454="Missing citation"),OR(H454="Yes",H454="No"),I454&lt;&gt;"",OR(F454&lt;&gt;"Supported",E454&lt;&gt;""),OR(G454&lt;&gt;"Supported",AND(F454="Supported",D454&lt;&gt;"",E454&lt;&gt;""))),"Yes","No"))</f>
        <v/>
      </c>
    </row>
    <row r="455" spans="11:11">
      <c r="K455" s="11">
        <f>IF(OR(A455="",C455=""),"",IF(AND(COUNTIF(Responses!$A$6:$A$205,A455)=1,B455&lt;&gt;"",COUNTIFS($A$6:$A$2005,A455,$B$6:$B$2005,B455)=1,OR(F455="Supported",F455="Unsupported",F455="Contradicted"),OR(G455="Supported",G455="Wrong citation",G455="Missing citation"),OR(H455="Yes",H455="No"),I455&lt;&gt;"",OR(F455&lt;&gt;"Supported",E455&lt;&gt;""),OR(G455&lt;&gt;"Supported",AND(F455="Supported",D455&lt;&gt;"",E455&lt;&gt;""))),"Yes","No"))</f>
        <v/>
      </c>
    </row>
    <row r="456" spans="11:11">
      <c r="K456" s="11">
        <f>IF(OR(A456="",C456=""),"",IF(AND(COUNTIF(Responses!$A$6:$A$205,A456)=1,B456&lt;&gt;"",COUNTIFS($A$6:$A$2005,A456,$B$6:$B$2005,B456)=1,OR(F456="Supported",F456="Unsupported",F456="Contradicted"),OR(G456="Supported",G456="Wrong citation",G456="Missing citation"),OR(H456="Yes",H456="No"),I456&lt;&gt;"",OR(F456&lt;&gt;"Supported",E456&lt;&gt;""),OR(G456&lt;&gt;"Supported",AND(F456="Supported",D456&lt;&gt;"",E456&lt;&gt;""))),"Yes","No"))</f>
        <v/>
      </c>
    </row>
    <row r="457" spans="11:11">
      <c r="K457" s="11">
        <f>IF(OR(A457="",C457=""),"",IF(AND(COUNTIF(Responses!$A$6:$A$205,A457)=1,B457&lt;&gt;"",COUNTIFS($A$6:$A$2005,A457,$B$6:$B$2005,B457)=1,OR(F457="Supported",F457="Unsupported",F457="Contradicted"),OR(G457="Supported",G457="Wrong citation",G457="Missing citation"),OR(H457="Yes",H457="No"),I457&lt;&gt;"",OR(F457&lt;&gt;"Supported",E457&lt;&gt;""),OR(G457&lt;&gt;"Supported",AND(F457="Supported",D457&lt;&gt;"",E457&lt;&gt;""))),"Yes","No"))</f>
        <v/>
      </c>
    </row>
    <row r="458" spans="11:11">
      <c r="K458" s="11">
        <f>IF(OR(A458="",C458=""),"",IF(AND(COUNTIF(Responses!$A$6:$A$205,A458)=1,B458&lt;&gt;"",COUNTIFS($A$6:$A$2005,A458,$B$6:$B$2005,B458)=1,OR(F458="Supported",F458="Unsupported",F458="Contradicted"),OR(G458="Supported",G458="Wrong citation",G458="Missing citation"),OR(H458="Yes",H458="No"),I458&lt;&gt;"",OR(F458&lt;&gt;"Supported",E458&lt;&gt;""),OR(G458&lt;&gt;"Supported",AND(F458="Supported",D458&lt;&gt;"",E458&lt;&gt;""))),"Yes","No"))</f>
        <v/>
      </c>
    </row>
    <row r="459" spans="11:11">
      <c r="K459" s="11">
        <f>IF(OR(A459="",C459=""),"",IF(AND(COUNTIF(Responses!$A$6:$A$205,A459)=1,B459&lt;&gt;"",COUNTIFS($A$6:$A$2005,A459,$B$6:$B$2005,B459)=1,OR(F459="Supported",F459="Unsupported",F459="Contradicted"),OR(G459="Supported",G459="Wrong citation",G459="Missing citation"),OR(H459="Yes",H459="No"),I459&lt;&gt;"",OR(F459&lt;&gt;"Supported",E459&lt;&gt;""),OR(G459&lt;&gt;"Supported",AND(F459="Supported",D459&lt;&gt;"",E459&lt;&gt;""))),"Yes","No"))</f>
        <v/>
      </c>
    </row>
    <row r="460" spans="11:11">
      <c r="K460" s="11">
        <f>IF(OR(A460="",C460=""),"",IF(AND(COUNTIF(Responses!$A$6:$A$205,A460)=1,B460&lt;&gt;"",COUNTIFS($A$6:$A$2005,A460,$B$6:$B$2005,B460)=1,OR(F460="Supported",F460="Unsupported",F460="Contradicted"),OR(G460="Supported",G460="Wrong citation",G460="Missing citation"),OR(H460="Yes",H460="No"),I460&lt;&gt;"",OR(F460&lt;&gt;"Supported",E460&lt;&gt;""),OR(G460&lt;&gt;"Supported",AND(F460="Supported",D460&lt;&gt;"",E460&lt;&gt;""))),"Yes","No"))</f>
        <v/>
      </c>
    </row>
    <row r="461" spans="11:11">
      <c r="K461" s="11">
        <f>IF(OR(A461="",C461=""),"",IF(AND(COUNTIF(Responses!$A$6:$A$205,A461)=1,B461&lt;&gt;"",COUNTIFS($A$6:$A$2005,A461,$B$6:$B$2005,B461)=1,OR(F461="Supported",F461="Unsupported",F461="Contradicted"),OR(G461="Supported",G461="Wrong citation",G461="Missing citation"),OR(H461="Yes",H461="No"),I461&lt;&gt;"",OR(F461&lt;&gt;"Supported",E461&lt;&gt;""),OR(G461&lt;&gt;"Supported",AND(F461="Supported",D461&lt;&gt;"",E461&lt;&gt;""))),"Yes","No"))</f>
        <v/>
      </c>
    </row>
    <row r="462" spans="11:11">
      <c r="K462" s="11">
        <f>IF(OR(A462="",C462=""),"",IF(AND(COUNTIF(Responses!$A$6:$A$205,A462)=1,B462&lt;&gt;"",COUNTIFS($A$6:$A$2005,A462,$B$6:$B$2005,B462)=1,OR(F462="Supported",F462="Unsupported",F462="Contradicted"),OR(G462="Supported",G462="Wrong citation",G462="Missing citation"),OR(H462="Yes",H462="No"),I462&lt;&gt;"",OR(F462&lt;&gt;"Supported",E462&lt;&gt;""),OR(G462&lt;&gt;"Supported",AND(F462="Supported",D462&lt;&gt;"",E462&lt;&gt;""))),"Yes","No"))</f>
        <v/>
      </c>
    </row>
    <row r="463" spans="11:11">
      <c r="K463" s="11">
        <f>IF(OR(A463="",C463=""),"",IF(AND(COUNTIF(Responses!$A$6:$A$205,A463)=1,B463&lt;&gt;"",COUNTIFS($A$6:$A$2005,A463,$B$6:$B$2005,B463)=1,OR(F463="Supported",F463="Unsupported",F463="Contradicted"),OR(G463="Supported",G463="Wrong citation",G463="Missing citation"),OR(H463="Yes",H463="No"),I463&lt;&gt;"",OR(F463&lt;&gt;"Supported",E463&lt;&gt;""),OR(G463&lt;&gt;"Supported",AND(F463="Supported",D463&lt;&gt;"",E463&lt;&gt;""))),"Yes","No"))</f>
        <v/>
      </c>
    </row>
    <row r="464" spans="11:11">
      <c r="K464" s="11">
        <f>IF(OR(A464="",C464=""),"",IF(AND(COUNTIF(Responses!$A$6:$A$205,A464)=1,B464&lt;&gt;"",COUNTIFS($A$6:$A$2005,A464,$B$6:$B$2005,B464)=1,OR(F464="Supported",F464="Unsupported",F464="Contradicted"),OR(G464="Supported",G464="Wrong citation",G464="Missing citation"),OR(H464="Yes",H464="No"),I464&lt;&gt;"",OR(F464&lt;&gt;"Supported",E464&lt;&gt;""),OR(G464&lt;&gt;"Supported",AND(F464="Supported",D464&lt;&gt;"",E464&lt;&gt;""))),"Yes","No"))</f>
        <v/>
      </c>
    </row>
    <row r="465" spans="11:11">
      <c r="K465" s="11">
        <f>IF(OR(A465="",C465=""),"",IF(AND(COUNTIF(Responses!$A$6:$A$205,A465)=1,B465&lt;&gt;"",COUNTIFS($A$6:$A$2005,A465,$B$6:$B$2005,B465)=1,OR(F465="Supported",F465="Unsupported",F465="Contradicted"),OR(G465="Supported",G465="Wrong citation",G465="Missing citation"),OR(H465="Yes",H465="No"),I465&lt;&gt;"",OR(F465&lt;&gt;"Supported",E465&lt;&gt;""),OR(G465&lt;&gt;"Supported",AND(F465="Supported",D465&lt;&gt;"",E465&lt;&gt;""))),"Yes","No"))</f>
        <v/>
      </c>
    </row>
    <row r="466" spans="11:11">
      <c r="K466" s="11">
        <f>IF(OR(A466="",C466=""),"",IF(AND(COUNTIF(Responses!$A$6:$A$205,A466)=1,B466&lt;&gt;"",COUNTIFS($A$6:$A$2005,A466,$B$6:$B$2005,B466)=1,OR(F466="Supported",F466="Unsupported",F466="Contradicted"),OR(G466="Supported",G466="Wrong citation",G466="Missing citation"),OR(H466="Yes",H466="No"),I466&lt;&gt;"",OR(F466&lt;&gt;"Supported",E466&lt;&gt;""),OR(G466&lt;&gt;"Supported",AND(F466="Supported",D466&lt;&gt;"",E466&lt;&gt;""))),"Yes","No"))</f>
        <v/>
      </c>
    </row>
    <row r="467" spans="11:11">
      <c r="K467" s="11">
        <f>IF(OR(A467="",C467=""),"",IF(AND(COUNTIF(Responses!$A$6:$A$205,A467)=1,B467&lt;&gt;"",COUNTIFS($A$6:$A$2005,A467,$B$6:$B$2005,B467)=1,OR(F467="Supported",F467="Unsupported",F467="Contradicted"),OR(G467="Supported",G467="Wrong citation",G467="Missing citation"),OR(H467="Yes",H467="No"),I467&lt;&gt;"",OR(F467&lt;&gt;"Supported",E467&lt;&gt;""),OR(G467&lt;&gt;"Supported",AND(F467="Supported",D467&lt;&gt;"",E467&lt;&gt;""))),"Yes","No"))</f>
        <v/>
      </c>
    </row>
    <row r="468" spans="11:11">
      <c r="K468" s="11">
        <f>IF(OR(A468="",C468=""),"",IF(AND(COUNTIF(Responses!$A$6:$A$205,A468)=1,B468&lt;&gt;"",COUNTIFS($A$6:$A$2005,A468,$B$6:$B$2005,B468)=1,OR(F468="Supported",F468="Unsupported",F468="Contradicted"),OR(G468="Supported",G468="Wrong citation",G468="Missing citation"),OR(H468="Yes",H468="No"),I468&lt;&gt;"",OR(F468&lt;&gt;"Supported",E468&lt;&gt;""),OR(G468&lt;&gt;"Supported",AND(F468="Supported",D468&lt;&gt;"",E468&lt;&gt;""))),"Yes","No"))</f>
        <v/>
      </c>
    </row>
    <row r="469" spans="11:11">
      <c r="K469" s="11">
        <f>IF(OR(A469="",C469=""),"",IF(AND(COUNTIF(Responses!$A$6:$A$205,A469)=1,B469&lt;&gt;"",COUNTIFS($A$6:$A$2005,A469,$B$6:$B$2005,B469)=1,OR(F469="Supported",F469="Unsupported",F469="Contradicted"),OR(G469="Supported",G469="Wrong citation",G469="Missing citation"),OR(H469="Yes",H469="No"),I469&lt;&gt;"",OR(F469&lt;&gt;"Supported",E469&lt;&gt;""),OR(G469&lt;&gt;"Supported",AND(F469="Supported",D469&lt;&gt;"",E469&lt;&gt;""))),"Yes","No"))</f>
        <v/>
      </c>
    </row>
    <row r="470" spans="11:11">
      <c r="K470" s="11">
        <f>IF(OR(A470="",C470=""),"",IF(AND(COUNTIF(Responses!$A$6:$A$205,A470)=1,B470&lt;&gt;"",COUNTIFS($A$6:$A$2005,A470,$B$6:$B$2005,B470)=1,OR(F470="Supported",F470="Unsupported",F470="Contradicted"),OR(G470="Supported",G470="Wrong citation",G470="Missing citation"),OR(H470="Yes",H470="No"),I470&lt;&gt;"",OR(F470&lt;&gt;"Supported",E470&lt;&gt;""),OR(G470&lt;&gt;"Supported",AND(F470="Supported",D470&lt;&gt;"",E470&lt;&gt;""))),"Yes","No"))</f>
        <v/>
      </c>
    </row>
    <row r="471" spans="11:11">
      <c r="K471" s="11">
        <f>IF(OR(A471="",C471=""),"",IF(AND(COUNTIF(Responses!$A$6:$A$205,A471)=1,B471&lt;&gt;"",COUNTIFS($A$6:$A$2005,A471,$B$6:$B$2005,B471)=1,OR(F471="Supported",F471="Unsupported",F471="Contradicted"),OR(G471="Supported",G471="Wrong citation",G471="Missing citation"),OR(H471="Yes",H471="No"),I471&lt;&gt;"",OR(F471&lt;&gt;"Supported",E471&lt;&gt;""),OR(G471&lt;&gt;"Supported",AND(F471="Supported",D471&lt;&gt;"",E471&lt;&gt;""))),"Yes","No"))</f>
        <v/>
      </c>
    </row>
    <row r="472" spans="11:11">
      <c r="K472" s="11">
        <f>IF(OR(A472="",C472=""),"",IF(AND(COUNTIF(Responses!$A$6:$A$205,A472)=1,B472&lt;&gt;"",COUNTIFS($A$6:$A$2005,A472,$B$6:$B$2005,B472)=1,OR(F472="Supported",F472="Unsupported",F472="Contradicted"),OR(G472="Supported",G472="Wrong citation",G472="Missing citation"),OR(H472="Yes",H472="No"),I472&lt;&gt;"",OR(F472&lt;&gt;"Supported",E472&lt;&gt;""),OR(G472&lt;&gt;"Supported",AND(F472="Supported",D472&lt;&gt;"",E472&lt;&gt;""))),"Yes","No"))</f>
        <v/>
      </c>
    </row>
    <row r="473" spans="11:11">
      <c r="K473" s="11">
        <f>IF(OR(A473="",C473=""),"",IF(AND(COUNTIF(Responses!$A$6:$A$205,A473)=1,B473&lt;&gt;"",COUNTIFS($A$6:$A$2005,A473,$B$6:$B$2005,B473)=1,OR(F473="Supported",F473="Unsupported",F473="Contradicted"),OR(G473="Supported",G473="Wrong citation",G473="Missing citation"),OR(H473="Yes",H473="No"),I473&lt;&gt;"",OR(F473&lt;&gt;"Supported",E473&lt;&gt;""),OR(G473&lt;&gt;"Supported",AND(F473="Supported",D473&lt;&gt;"",E473&lt;&gt;""))),"Yes","No"))</f>
        <v/>
      </c>
    </row>
    <row r="474" spans="11:11">
      <c r="K474" s="11">
        <f>IF(OR(A474="",C474=""),"",IF(AND(COUNTIF(Responses!$A$6:$A$205,A474)=1,B474&lt;&gt;"",COUNTIFS($A$6:$A$2005,A474,$B$6:$B$2005,B474)=1,OR(F474="Supported",F474="Unsupported",F474="Contradicted"),OR(G474="Supported",G474="Wrong citation",G474="Missing citation"),OR(H474="Yes",H474="No"),I474&lt;&gt;"",OR(F474&lt;&gt;"Supported",E474&lt;&gt;""),OR(G474&lt;&gt;"Supported",AND(F474="Supported",D474&lt;&gt;"",E474&lt;&gt;""))),"Yes","No"))</f>
        <v/>
      </c>
    </row>
    <row r="475" spans="11:11">
      <c r="K475" s="11">
        <f>IF(OR(A475="",C475=""),"",IF(AND(COUNTIF(Responses!$A$6:$A$205,A475)=1,B475&lt;&gt;"",COUNTIFS($A$6:$A$2005,A475,$B$6:$B$2005,B475)=1,OR(F475="Supported",F475="Unsupported",F475="Contradicted"),OR(G475="Supported",G475="Wrong citation",G475="Missing citation"),OR(H475="Yes",H475="No"),I475&lt;&gt;"",OR(F475&lt;&gt;"Supported",E475&lt;&gt;""),OR(G475&lt;&gt;"Supported",AND(F475="Supported",D475&lt;&gt;"",E475&lt;&gt;""))),"Yes","No"))</f>
        <v/>
      </c>
    </row>
    <row r="476" spans="11:11">
      <c r="K476" s="11">
        <f>IF(OR(A476="",C476=""),"",IF(AND(COUNTIF(Responses!$A$6:$A$205,A476)=1,B476&lt;&gt;"",COUNTIFS($A$6:$A$2005,A476,$B$6:$B$2005,B476)=1,OR(F476="Supported",F476="Unsupported",F476="Contradicted"),OR(G476="Supported",G476="Wrong citation",G476="Missing citation"),OR(H476="Yes",H476="No"),I476&lt;&gt;"",OR(F476&lt;&gt;"Supported",E476&lt;&gt;""),OR(G476&lt;&gt;"Supported",AND(F476="Supported",D476&lt;&gt;"",E476&lt;&gt;""))),"Yes","No"))</f>
        <v/>
      </c>
    </row>
    <row r="477" spans="11:11">
      <c r="K477" s="11">
        <f>IF(OR(A477="",C477=""),"",IF(AND(COUNTIF(Responses!$A$6:$A$205,A477)=1,B477&lt;&gt;"",COUNTIFS($A$6:$A$2005,A477,$B$6:$B$2005,B477)=1,OR(F477="Supported",F477="Unsupported",F477="Contradicted"),OR(G477="Supported",G477="Wrong citation",G477="Missing citation"),OR(H477="Yes",H477="No"),I477&lt;&gt;"",OR(F477&lt;&gt;"Supported",E477&lt;&gt;""),OR(G477&lt;&gt;"Supported",AND(F477="Supported",D477&lt;&gt;"",E477&lt;&gt;""))),"Yes","No"))</f>
        <v/>
      </c>
    </row>
    <row r="478" spans="11:11">
      <c r="K478" s="11">
        <f>IF(OR(A478="",C478=""),"",IF(AND(COUNTIF(Responses!$A$6:$A$205,A478)=1,B478&lt;&gt;"",COUNTIFS($A$6:$A$2005,A478,$B$6:$B$2005,B478)=1,OR(F478="Supported",F478="Unsupported",F478="Contradicted"),OR(G478="Supported",G478="Wrong citation",G478="Missing citation"),OR(H478="Yes",H478="No"),I478&lt;&gt;"",OR(F478&lt;&gt;"Supported",E478&lt;&gt;""),OR(G478&lt;&gt;"Supported",AND(F478="Supported",D478&lt;&gt;"",E478&lt;&gt;""))),"Yes","No"))</f>
        <v/>
      </c>
    </row>
    <row r="479" spans="11:11">
      <c r="K479" s="11">
        <f>IF(OR(A479="",C479=""),"",IF(AND(COUNTIF(Responses!$A$6:$A$205,A479)=1,B479&lt;&gt;"",COUNTIFS($A$6:$A$2005,A479,$B$6:$B$2005,B479)=1,OR(F479="Supported",F479="Unsupported",F479="Contradicted"),OR(G479="Supported",G479="Wrong citation",G479="Missing citation"),OR(H479="Yes",H479="No"),I479&lt;&gt;"",OR(F479&lt;&gt;"Supported",E479&lt;&gt;""),OR(G479&lt;&gt;"Supported",AND(F479="Supported",D479&lt;&gt;"",E479&lt;&gt;""))),"Yes","No"))</f>
        <v/>
      </c>
    </row>
    <row r="480" spans="11:11">
      <c r="K480" s="11">
        <f>IF(OR(A480="",C480=""),"",IF(AND(COUNTIF(Responses!$A$6:$A$205,A480)=1,B480&lt;&gt;"",COUNTIFS($A$6:$A$2005,A480,$B$6:$B$2005,B480)=1,OR(F480="Supported",F480="Unsupported",F480="Contradicted"),OR(G480="Supported",G480="Wrong citation",G480="Missing citation"),OR(H480="Yes",H480="No"),I480&lt;&gt;"",OR(F480&lt;&gt;"Supported",E480&lt;&gt;""),OR(G480&lt;&gt;"Supported",AND(F480="Supported",D480&lt;&gt;"",E480&lt;&gt;""))),"Yes","No"))</f>
        <v/>
      </c>
    </row>
    <row r="481" spans="11:11">
      <c r="K481" s="11">
        <f>IF(OR(A481="",C481=""),"",IF(AND(COUNTIF(Responses!$A$6:$A$205,A481)=1,B481&lt;&gt;"",COUNTIFS($A$6:$A$2005,A481,$B$6:$B$2005,B481)=1,OR(F481="Supported",F481="Unsupported",F481="Contradicted"),OR(G481="Supported",G481="Wrong citation",G481="Missing citation"),OR(H481="Yes",H481="No"),I481&lt;&gt;"",OR(F481&lt;&gt;"Supported",E481&lt;&gt;""),OR(G481&lt;&gt;"Supported",AND(F481="Supported",D481&lt;&gt;"",E481&lt;&gt;""))),"Yes","No"))</f>
        <v/>
      </c>
    </row>
    <row r="482" spans="11:11">
      <c r="K482" s="11">
        <f>IF(OR(A482="",C482=""),"",IF(AND(COUNTIF(Responses!$A$6:$A$205,A482)=1,B482&lt;&gt;"",COUNTIFS($A$6:$A$2005,A482,$B$6:$B$2005,B482)=1,OR(F482="Supported",F482="Unsupported",F482="Contradicted"),OR(G482="Supported",G482="Wrong citation",G482="Missing citation"),OR(H482="Yes",H482="No"),I482&lt;&gt;"",OR(F482&lt;&gt;"Supported",E482&lt;&gt;""),OR(G482&lt;&gt;"Supported",AND(F482="Supported",D482&lt;&gt;"",E482&lt;&gt;""))),"Yes","No"))</f>
        <v/>
      </c>
    </row>
    <row r="483" spans="11:11">
      <c r="K483" s="11">
        <f>IF(OR(A483="",C483=""),"",IF(AND(COUNTIF(Responses!$A$6:$A$205,A483)=1,B483&lt;&gt;"",COUNTIFS($A$6:$A$2005,A483,$B$6:$B$2005,B483)=1,OR(F483="Supported",F483="Unsupported",F483="Contradicted"),OR(G483="Supported",G483="Wrong citation",G483="Missing citation"),OR(H483="Yes",H483="No"),I483&lt;&gt;"",OR(F483&lt;&gt;"Supported",E483&lt;&gt;""),OR(G483&lt;&gt;"Supported",AND(F483="Supported",D483&lt;&gt;"",E483&lt;&gt;""))),"Yes","No"))</f>
        <v/>
      </c>
    </row>
    <row r="484" spans="11:11">
      <c r="K484" s="11">
        <f>IF(OR(A484="",C484=""),"",IF(AND(COUNTIF(Responses!$A$6:$A$205,A484)=1,B484&lt;&gt;"",COUNTIFS($A$6:$A$2005,A484,$B$6:$B$2005,B484)=1,OR(F484="Supported",F484="Unsupported",F484="Contradicted"),OR(G484="Supported",G484="Wrong citation",G484="Missing citation"),OR(H484="Yes",H484="No"),I484&lt;&gt;"",OR(F484&lt;&gt;"Supported",E484&lt;&gt;""),OR(G484&lt;&gt;"Supported",AND(F484="Supported",D484&lt;&gt;"",E484&lt;&gt;""))),"Yes","No"))</f>
        <v/>
      </c>
    </row>
    <row r="485" spans="11:11">
      <c r="K485" s="11">
        <f>IF(OR(A485="",C485=""),"",IF(AND(COUNTIF(Responses!$A$6:$A$205,A485)=1,B485&lt;&gt;"",COUNTIFS($A$6:$A$2005,A485,$B$6:$B$2005,B485)=1,OR(F485="Supported",F485="Unsupported",F485="Contradicted"),OR(G485="Supported",G485="Wrong citation",G485="Missing citation"),OR(H485="Yes",H485="No"),I485&lt;&gt;"",OR(F485&lt;&gt;"Supported",E485&lt;&gt;""),OR(G485&lt;&gt;"Supported",AND(F485="Supported",D485&lt;&gt;"",E485&lt;&gt;""))),"Yes","No"))</f>
        <v/>
      </c>
    </row>
    <row r="486" spans="11:11">
      <c r="K486" s="11">
        <f>IF(OR(A486="",C486=""),"",IF(AND(COUNTIF(Responses!$A$6:$A$205,A486)=1,B486&lt;&gt;"",COUNTIFS($A$6:$A$2005,A486,$B$6:$B$2005,B486)=1,OR(F486="Supported",F486="Unsupported",F486="Contradicted"),OR(G486="Supported",G486="Wrong citation",G486="Missing citation"),OR(H486="Yes",H486="No"),I486&lt;&gt;"",OR(F486&lt;&gt;"Supported",E486&lt;&gt;""),OR(G486&lt;&gt;"Supported",AND(F486="Supported",D486&lt;&gt;"",E486&lt;&gt;""))),"Yes","No"))</f>
        <v/>
      </c>
    </row>
    <row r="487" spans="11:11">
      <c r="K487" s="11">
        <f>IF(OR(A487="",C487=""),"",IF(AND(COUNTIF(Responses!$A$6:$A$205,A487)=1,B487&lt;&gt;"",COUNTIFS($A$6:$A$2005,A487,$B$6:$B$2005,B487)=1,OR(F487="Supported",F487="Unsupported",F487="Contradicted"),OR(G487="Supported",G487="Wrong citation",G487="Missing citation"),OR(H487="Yes",H487="No"),I487&lt;&gt;"",OR(F487&lt;&gt;"Supported",E487&lt;&gt;""),OR(G487&lt;&gt;"Supported",AND(F487="Supported",D487&lt;&gt;"",E487&lt;&gt;""))),"Yes","No"))</f>
        <v/>
      </c>
    </row>
    <row r="488" spans="11:11">
      <c r="K488" s="11">
        <f>IF(OR(A488="",C488=""),"",IF(AND(COUNTIF(Responses!$A$6:$A$205,A488)=1,B488&lt;&gt;"",COUNTIFS($A$6:$A$2005,A488,$B$6:$B$2005,B488)=1,OR(F488="Supported",F488="Unsupported",F488="Contradicted"),OR(G488="Supported",G488="Wrong citation",G488="Missing citation"),OR(H488="Yes",H488="No"),I488&lt;&gt;"",OR(F488&lt;&gt;"Supported",E488&lt;&gt;""),OR(G488&lt;&gt;"Supported",AND(F488="Supported",D488&lt;&gt;"",E488&lt;&gt;""))),"Yes","No"))</f>
        <v/>
      </c>
    </row>
    <row r="489" spans="11:11">
      <c r="K489" s="11">
        <f>IF(OR(A489="",C489=""),"",IF(AND(COUNTIF(Responses!$A$6:$A$205,A489)=1,B489&lt;&gt;"",COUNTIFS($A$6:$A$2005,A489,$B$6:$B$2005,B489)=1,OR(F489="Supported",F489="Unsupported",F489="Contradicted"),OR(G489="Supported",G489="Wrong citation",G489="Missing citation"),OR(H489="Yes",H489="No"),I489&lt;&gt;"",OR(F489&lt;&gt;"Supported",E489&lt;&gt;""),OR(G489&lt;&gt;"Supported",AND(F489="Supported",D489&lt;&gt;"",E489&lt;&gt;""))),"Yes","No"))</f>
        <v/>
      </c>
    </row>
    <row r="490" spans="11:11">
      <c r="K490" s="11">
        <f>IF(OR(A490="",C490=""),"",IF(AND(COUNTIF(Responses!$A$6:$A$205,A490)=1,B490&lt;&gt;"",COUNTIFS($A$6:$A$2005,A490,$B$6:$B$2005,B490)=1,OR(F490="Supported",F490="Unsupported",F490="Contradicted"),OR(G490="Supported",G490="Wrong citation",G490="Missing citation"),OR(H490="Yes",H490="No"),I490&lt;&gt;"",OR(F490&lt;&gt;"Supported",E490&lt;&gt;""),OR(G490&lt;&gt;"Supported",AND(F490="Supported",D490&lt;&gt;"",E490&lt;&gt;""))),"Yes","No"))</f>
        <v/>
      </c>
    </row>
    <row r="491" spans="11:11">
      <c r="K491" s="11">
        <f>IF(OR(A491="",C491=""),"",IF(AND(COUNTIF(Responses!$A$6:$A$205,A491)=1,B491&lt;&gt;"",COUNTIFS($A$6:$A$2005,A491,$B$6:$B$2005,B491)=1,OR(F491="Supported",F491="Unsupported",F491="Contradicted"),OR(G491="Supported",G491="Wrong citation",G491="Missing citation"),OR(H491="Yes",H491="No"),I491&lt;&gt;"",OR(F491&lt;&gt;"Supported",E491&lt;&gt;""),OR(G491&lt;&gt;"Supported",AND(F491="Supported",D491&lt;&gt;"",E491&lt;&gt;""))),"Yes","No"))</f>
        <v/>
      </c>
    </row>
    <row r="492" spans="11:11">
      <c r="K492" s="11">
        <f>IF(OR(A492="",C492=""),"",IF(AND(COUNTIF(Responses!$A$6:$A$205,A492)=1,B492&lt;&gt;"",COUNTIFS($A$6:$A$2005,A492,$B$6:$B$2005,B492)=1,OR(F492="Supported",F492="Unsupported",F492="Contradicted"),OR(G492="Supported",G492="Wrong citation",G492="Missing citation"),OR(H492="Yes",H492="No"),I492&lt;&gt;"",OR(F492&lt;&gt;"Supported",E492&lt;&gt;""),OR(G492&lt;&gt;"Supported",AND(F492="Supported",D492&lt;&gt;"",E492&lt;&gt;""))),"Yes","No"))</f>
        <v/>
      </c>
    </row>
    <row r="493" spans="11:11">
      <c r="K493" s="11">
        <f>IF(OR(A493="",C493=""),"",IF(AND(COUNTIF(Responses!$A$6:$A$205,A493)=1,B493&lt;&gt;"",COUNTIFS($A$6:$A$2005,A493,$B$6:$B$2005,B493)=1,OR(F493="Supported",F493="Unsupported",F493="Contradicted"),OR(G493="Supported",G493="Wrong citation",G493="Missing citation"),OR(H493="Yes",H493="No"),I493&lt;&gt;"",OR(F493&lt;&gt;"Supported",E493&lt;&gt;""),OR(G493&lt;&gt;"Supported",AND(F493="Supported",D493&lt;&gt;"",E493&lt;&gt;""))),"Yes","No"))</f>
        <v/>
      </c>
    </row>
    <row r="494" spans="11:11">
      <c r="K494" s="11">
        <f>IF(OR(A494="",C494=""),"",IF(AND(COUNTIF(Responses!$A$6:$A$205,A494)=1,B494&lt;&gt;"",COUNTIFS($A$6:$A$2005,A494,$B$6:$B$2005,B494)=1,OR(F494="Supported",F494="Unsupported",F494="Contradicted"),OR(G494="Supported",G494="Wrong citation",G494="Missing citation"),OR(H494="Yes",H494="No"),I494&lt;&gt;"",OR(F494&lt;&gt;"Supported",E494&lt;&gt;""),OR(G494&lt;&gt;"Supported",AND(F494="Supported",D494&lt;&gt;"",E494&lt;&gt;""))),"Yes","No"))</f>
        <v/>
      </c>
    </row>
    <row r="495" spans="11:11">
      <c r="K495" s="11">
        <f>IF(OR(A495="",C495=""),"",IF(AND(COUNTIF(Responses!$A$6:$A$205,A495)=1,B495&lt;&gt;"",COUNTIFS($A$6:$A$2005,A495,$B$6:$B$2005,B495)=1,OR(F495="Supported",F495="Unsupported",F495="Contradicted"),OR(G495="Supported",G495="Wrong citation",G495="Missing citation"),OR(H495="Yes",H495="No"),I495&lt;&gt;"",OR(F495&lt;&gt;"Supported",E495&lt;&gt;""),OR(G495&lt;&gt;"Supported",AND(F495="Supported",D495&lt;&gt;"",E495&lt;&gt;""))),"Yes","No"))</f>
        <v/>
      </c>
    </row>
    <row r="496" spans="11:11">
      <c r="K496" s="11">
        <f>IF(OR(A496="",C496=""),"",IF(AND(COUNTIF(Responses!$A$6:$A$205,A496)=1,B496&lt;&gt;"",COUNTIFS($A$6:$A$2005,A496,$B$6:$B$2005,B496)=1,OR(F496="Supported",F496="Unsupported",F496="Contradicted"),OR(G496="Supported",G496="Wrong citation",G496="Missing citation"),OR(H496="Yes",H496="No"),I496&lt;&gt;"",OR(F496&lt;&gt;"Supported",E496&lt;&gt;""),OR(G496&lt;&gt;"Supported",AND(F496="Supported",D496&lt;&gt;"",E496&lt;&gt;""))),"Yes","No"))</f>
        <v/>
      </c>
    </row>
    <row r="497" spans="11:11">
      <c r="K497" s="11">
        <f>IF(OR(A497="",C497=""),"",IF(AND(COUNTIF(Responses!$A$6:$A$205,A497)=1,B497&lt;&gt;"",COUNTIFS($A$6:$A$2005,A497,$B$6:$B$2005,B497)=1,OR(F497="Supported",F497="Unsupported",F497="Contradicted"),OR(G497="Supported",G497="Wrong citation",G497="Missing citation"),OR(H497="Yes",H497="No"),I497&lt;&gt;"",OR(F497&lt;&gt;"Supported",E497&lt;&gt;""),OR(G497&lt;&gt;"Supported",AND(F497="Supported",D497&lt;&gt;"",E497&lt;&gt;""))),"Yes","No"))</f>
        <v/>
      </c>
    </row>
    <row r="498" spans="11:11">
      <c r="K498" s="11">
        <f>IF(OR(A498="",C498=""),"",IF(AND(COUNTIF(Responses!$A$6:$A$205,A498)=1,B498&lt;&gt;"",COUNTIFS($A$6:$A$2005,A498,$B$6:$B$2005,B498)=1,OR(F498="Supported",F498="Unsupported",F498="Contradicted"),OR(G498="Supported",G498="Wrong citation",G498="Missing citation"),OR(H498="Yes",H498="No"),I498&lt;&gt;"",OR(F498&lt;&gt;"Supported",E498&lt;&gt;""),OR(G498&lt;&gt;"Supported",AND(F498="Supported",D498&lt;&gt;"",E498&lt;&gt;""))),"Yes","No"))</f>
        <v/>
      </c>
    </row>
    <row r="499" spans="11:11">
      <c r="K499" s="11">
        <f>IF(OR(A499="",C499=""),"",IF(AND(COUNTIF(Responses!$A$6:$A$205,A499)=1,B499&lt;&gt;"",COUNTIFS($A$6:$A$2005,A499,$B$6:$B$2005,B499)=1,OR(F499="Supported",F499="Unsupported",F499="Contradicted"),OR(G499="Supported",G499="Wrong citation",G499="Missing citation"),OR(H499="Yes",H499="No"),I499&lt;&gt;"",OR(F499&lt;&gt;"Supported",E499&lt;&gt;""),OR(G499&lt;&gt;"Supported",AND(F499="Supported",D499&lt;&gt;"",E499&lt;&gt;""))),"Yes","No"))</f>
        <v/>
      </c>
    </row>
    <row r="500" spans="11:11">
      <c r="K500" s="11">
        <f>IF(OR(A500="",C500=""),"",IF(AND(COUNTIF(Responses!$A$6:$A$205,A500)=1,B500&lt;&gt;"",COUNTIFS($A$6:$A$2005,A500,$B$6:$B$2005,B500)=1,OR(F500="Supported",F500="Unsupported",F500="Contradicted"),OR(G500="Supported",G500="Wrong citation",G500="Missing citation"),OR(H500="Yes",H500="No"),I500&lt;&gt;"",OR(F500&lt;&gt;"Supported",E500&lt;&gt;""),OR(G500&lt;&gt;"Supported",AND(F500="Supported",D500&lt;&gt;"",E500&lt;&gt;""))),"Yes","No"))</f>
        <v/>
      </c>
    </row>
    <row r="501" spans="11:11">
      <c r="K501" s="11">
        <f>IF(OR(A501="",C501=""),"",IF(AND(COUNTIF(Responses!$A$6:$A$205,A501)=1,B501&lt;&gt;"",COUNTIFS($A$6:$A$2005,A501,$B$6:$B$2005,B501)=1,OR(F501="Supported",F501="Unsupported",F501="Contradicted"),OR(G501="Supported",G501="Wrong citation",G501="Missing citation"),OR(H501="Yes",H501="No"),I501&lt;&gt;"",OR(F501&lt;&gt;"Supported",E501&lt;&gt;""),OR(G501&lt;&gt;"Supported",AND(F501="Supported",D501&lt;&gt;"",E501&lt;&gt;""))),"Yes","No"))</f>
        <v/>
      </c>
    </row>
    <row r="502" spans="11:11">
      <c r="K502" s="11">
        <f>IF(OR(A502="",C502=""),"",IF(AND(COUNTIF(Responses!$A$6:$A$205,A502)=1,B502&lt;&gt;"",COUNTIFS($A$6:$A$2005,A502,$B$6:$B$2005,B502)=1,OR(F502="Supported",F502="Unsupported",F502="Contradicted"),OR(G502="Supported",G502="Wrong citation",G502="Missing citation"),OR(H502="Yes",H502="No"),I502&lt;&gt;"",OR(F502&lt;&gt;"Supported",E502&lt;&gt;""),OR(G502&lt;&gt;"Supported",AND(F502="Supported",D502&lt;&gt;"",E502&lt;&gt;""))),"Yes","No"))</f>
        <v/>
      </c>
    </row>
    <row r="503" spans="11:11">
      <c r="K503" s="11">
        <f>IF(OR(A503="",C503=""),"",IF(AND(COUNTIF(Responses!$A$6:$A$205,A503)=1,B503&lt;&gt;"",COUNTIFS($A$6:$A$2005,A503,$B$6:$B$2005,B503)=1,OR(F503="Supported",F503="Unsupported",F503="Contradicted"),OR(G503="Supported",G503="Wrong citation",G503="Missing citation"),OR(H503="Yes",H503="No"),I503&lt;&gt;"",OR(F503&lt;&gt;"Supported",E503&lt;&gt;""),OR(G503&lt;&gt;"Supported",AND(F503="Supported",D503&lt;&gt;"",E503&lt;&gt;""))),"Yes","No"))</f>
        <v/>
      </c>
    </row>
    <row r="504" spans="11:11">
      <c r="K504" s="11">
        <f>IF(OR(A504="",C504=""),"",IF(AND(COUNTIF(Responses!$A$6:$A$205,A504)=1,B504&lt;&gt;"",COUNTIFS($A$6:$A$2005,A504,$B$6:$B$2005,B504)=1,OR(F504="Supported",F504="Unsupported",F504="Contradicted"),OR(G504="Supported",G504="Wrong citation",G504="Missing citation"),OR(H504="Yes",H504="No"),I504&lt;&gt;"",OR(F504&lt;&gt;"Supported",E504&lt;&gt;""),OR(G504&lt;&gt;"Supported",AND(F504="Supported",D504&lt;&gt;"",E504&lt;&gt;""))),"Yes","No"))</f>
        <v/>
      </c>
    </row>
    <row r="505" spans="11:11">
      <c r="K505" s="11">
        <f>IF(OR(A505="",C505=""),"",IF(AND(COUNTIF(Responses!$A$6:$A$205,A505)=1,B505&lt;&gt;"",COUNTIFS($A$6:$A$2005,A505,$B$6:$B$2005,B505)=1,OR(F505="Supported",F505="Unsupported",F505="Contradicted"),OR(G505="Supported",G505="Wrong citation",G505="Missing citation"),OR(H505="Yes",H505="No"),I505&lt;&gt;"",OR(F505&lt;&gt;"Supported",E505&lt;&gt;""),OR(G505&lt;&gt;"Supported",AND(F505="Supported",D505&lt;&gt;"",E505&lt;&gt;""))),"Yes","No"))</f>
        <v/>
      </c>
    </row>
    <row r="506" spans="11:11">
      <c r="K506" s="11">
        <f>IF(OR(A506="",C506=""),"",IF(AND(COUNTIF(Responses!$A$6:$A$205,A506)=1,B506&lt;&gt;"",COUNTIFS($A$6:$A$2005,A506,$B$6:$B$2005,B506)=1,OR(F506="Supported",F506="Unsupported",F506="Contradicted"),OR(G506="Supported",G506="Wrong citation",G506="Missing citation"),OR(H506="Yes",H506="No"),I506&lt;&gt;"",OR(F506&lt;&gt;"Supported",E506&lt;&gt;""),OR(G506&lt;&gt;"Supported",AND(F506="Supported",D506&lt;&gt;"",E506&lt;&gt;""))),"Yes","No"))</f>
        <v/>
      </c>
    </row>
    <row r="507" spans="11:11">
      <c r="K507" s="11">
        <f>IF(OR(A507="",C507=""),"",IF(AND(COUNTIF(Responses!$A$6:$A$205,A507)=1,B507&lt;&gt;"",COUNTIFS($A$6:$A$2005,A507,$B$6:$B$2005,B507)=1,OR(F507="Supported",F507="Unsupported",F507="Contradicted"),OR(G507="Supported",G507="Wrong citation",G507="Missing citation"),OR(H507="Yes",H507="No"),I507&lt;&gt;"",OR(F507&lt;&gt;"Supported",E507&lt;&gt;""),OR(G507&lt;&gt;"Supported",AND(F507="Supported",D507&lt;&gt;"",E507&lt;&gt;""))),"Yes","No"))</f>
        <v/>
      </c>
    </row>
    <row r="508" spans="11:11">
      <c r="K508" s="11">
        <f>IF(OR(A508="",C508=""),"",IF(AND(COUNTIF(Responses!$A$6:$A$205,A508)=1,B508&lt;&gt;"",COUNTIFS($A$6:$A$2005,A508,$B$6:$B$2005,B508)=1,OR(F508="Supported",F508="Unsupported",F508="Contradicted"),OR(G508="Supported",G508="Wrong citation",G508="Missing citation"),OR(H508="Yes",H508="No"),I508&lt;&gt;"",OR(F508&lt;&gt;"Supported",E508&lt;&gt;""),OR(G508&lt;&gt;"Supported",AND(F508="Supported",D508&lt;&gt;"",E508&lt;&gt;""))),"Yes","No"))</f>
        <v/>
      </c>
    </row>
    <row r="509" spans="11:11">
      <c r="K509" s="11">
        <f>IF(OR(A509="",C509=""),"",IF(AND(COUNTIF(Responses!$A$6:$A$205,A509)=1,B509&lt;&gt;"",COUNTIFS($A$6:$A$2005,A509,$B$6:$B$2005,B509)=1,OR(F509="Supported",F509="Unsupported",F509="Contradicted"),OR(G509="Supported",G509="Wrong citation",G509="Missing citation"),OR(H509="Yes",H509="No"),I509&lt;&gt;"",OR(F509&lt;&gt;"Supported",E509&lt;&gt;""),OR(G509&lt;&gt;"Supported",AND(F509="Supported",D509&lt;&gt;"",E509&lt;&gt;""))),"Yes","No"))</f>
        <v/>
      </c>
    </row>
    <row r="510" spans="11:11">
      <c r="K510" s="11">
        <f>IF(OR(A510="",C510=""),"",IF(AND(COUNTIF(Responses!$A$6:$A$205,A510)=1,B510&lt;&gt;"",COUNTIFS($A$6:$A$2005,A510,$B$6:$B$2005,B510)=1,OR(F510="Supported",F510="Unsupported",F510="Contradicted"),OR(G510="Supported",G510="Wrong citation",G510="Missing citation"),OR(H510="Yes",H510="No"),I510&lt;&gt;"",OR(F510&lt;&gt;"Supported",E510&lt;&gt;""),OR(G510&lt;&gt;"Supported",AND(F510="Supported",D510&lt;&gt;"",E510&lt;&gt;""))),"Yes","No"))</f>
        <v/>
      </c>
    </row>
    <row r="511" spans="11:11">
      <c r="K511" s="11">
        <f>IF(OR(A511="",C511=""),"",IF(AND(COUNTIF(Responses!$A$6:$A$205,A511)=1,B511&lt;&gt;"",COUNTIFS($A$6:$A$2005,A511,$B$6:$B$2005,B511)=1,OR(F511="Supported",F511="Unsupported",F511="Contradicted"),OR(G511="Supported",G511="Wrong citation",G511="Missing citation"),OR(H511="Yes",H511="No"),I511&lt;&gt;"",OR(F511&lt;&gt;"Supported",E511&lt;&gt;""),OR(G511&lt;&gt;"Supported",AND(F511="Supported",D511&lt;&gt;"",E511&lt;&gt;""))),"Yes","No"))</f>
        <v/>
      </c>
    </row>
    <row r="512" spans="11:11">
      <c r="K512" s="11">
        <f>IF(OR(A512="",C512=""),"",IF(AND(COUNTIF(Responses!$A$6:$A$205,A512)=1,B512&lt;&gt;"",COUNTIFS($A$6:$A$2005,A512,$B$6:$B$2005,B512)=1,OR(F512="Supported",F512="Unsupported",F512="Contradicted"),OR(G512="Supported",G512="Wrong citation",G512="Missing citation"),OR(H512="Yes",H512="No"),I512&lt;&gt;"",OR(F512&lt;&gt;"Supported",E512&lt;&gt;""),OR(G512&lt;&gt;"Supported",AND(F512="Supported",D512&lt;&gt;"",E512&lt;&gt;""))),"Yes","No"))</f>
        <v/>
      </c>
    </row>
    <row r="513" spans="11:11">
      <c r="K513" s="11">
        <f>IF(OR(A513="",C513=""),"",IF(AND(COUNTIF(Responses!$A$6:$A$205,A513)=1,B513&lt;&gt;"",COUNTIFS($A$6:$A$2005,A513,$B$6:$B$2005,B513)=1,OR(F513="Supported",F513="Unsupported",F513="Contradicted"),OR(G513="Supported",G513="Wrong citation",G513="Missing citation"),OR(H513="Yes",H513="No"),I513&lt;&gt;"",OR(F513&lt;&gt;"Supported",E513&lt;&gt;""),OR(G513&lt;&gt;"Supported",AND(F513="Supported",D513&lt;&gt;"",E513&lt;&gt;""))),"Yes","No"))</f>
        <v/>
      </c>
    </row>
    <row r="514" spans="11:11">
      <c r="K514" s="11">
        <f>IF(OR(A514="",C514=""),"",IF(AND(COUNTIF(Responses!$A$6:$A$205,A514)=1,B514&lt;&gt;"",COUNTIFS($A$6:$A$2005,A514,$B$6:$B$2005,B514)=1,OR(F514="Supported",F514="Unsupported",F514="Contradicted"),OR(G514="Supported",G514="Wrong citation",G514="Missing citation"),OR(H514="Yes",H514="No"),I514&lt;&gt;"",OR(F514&lt;&gt;"Supported",E514&lt;&gt;""),OR(G514&lt;&gt;"Supported",AND(F514="Supported",D514&lt;&gt;"",E514&lt;&gt;""))),"Yes","No"))</f>
        <v/>
      </c>
    </row>
    <row r="515" spans="11:11">
      <c r="K515" s="11">
        <f>IF(OR(A515="",C515=""),"",IF(AND(COUNTIF(Responses!$A$6:$A$205,A515)=1,B515&lt;&gt;"",COUNTIFS($A$6:$A$2005,A515,$B$6:$B$2005,B515)=1,OR(F515="Supported",F515="Unsupported",F515="Contradicted"),OR(G515="Supported",G515="Wrong citation",G515="Missing citation"),OR(H515="Yes",H515="No"),I515&lt;&gt;"",OR(F515&lt;&gt;"Supported",E515&lt;&gt;""),OR(G515&lt;&gt;"Supported",AND(F515="Supported",D515&lt;&gt;"",E515&lt;&gt;""))),"Yes","No"))</f>
        <v/>
      </c>
    </row>
    <row r="516" spans="11:11">
      <c r="K516" s="11">
        <f>IF(OR(A516="",C516=""),"",IF(AND(COUNTIF(Responses!$A$6:$A$205,A516)=1,B516&lt;&gt;"",COUNTIFS($A$6:$A$2005,A516,$B$6:$B$2005,B516)=1,OR(F516="Supported",F516="Unsupported",F516="Contradicted"),OR(G516="Supported",G516="Wrong citation",G516="Missing citation"),OR(H516="Yes",H516="No"),I516&lt;&gt;"",OR(F516&lt;&gt;"Supported",E516&lt;&gt;""),OR(G516&lt;&gt;"Supported",AND(F516="Supported",D516&lt;&gt;"",E516&lt;&gt;""))),"Yes","No"))</f>
        <v/>
      </c>
    </row>
    <row r="517" spans="11:11">
      <c r="K517" s="11">
        <f>IF(OR(A517="",C517=""),"",IF(AND(COUNTIF(Responses!$A$6:$A$205,A517)=1,B517&lt;&gt;"",COUNTIFS($A$6:$A$2005,A517,$B$6:$B$2005,B517)=1,OR(F517="Supported",F517="Unsupported",F517="Contradicted"),OR(G517="Supported",G517="Wrong citation",G517="Missing citation"),OR(H517="Yes",H517="No"),I517&lt;&gt;"",OR(F517&lt;&gt;"Supported",E517&lt;&gt;""),OR(G517&lt;&gt;"Supported",AND(F517="Supported",D517&lt;&gt;"",E517&lt;&gt;""))),"Yes","No"))</f>
        <v/>
      </c>
    </row>
    <row r="518" spans="11:11">
      <c r="K518" s="11">
        <f>IF(OR(A518="",C518=""),"",IF(AND(COUNTIF(Responses!$A$6:$A$205,A518)=1,B518&lt;&gt;"",COUNTIFS($A$6:$A$2005,A518,$B$6:$B$2005,B518)=1,OR(F518="Supported",F518="Unsupported",F518="Contradicted"),OR(G518="Supported",G518="Wrong citation",G518="Missing citation"),OR(H518="Yes",H518="No"),I518&lt;&gt;"",OR(F518&lt;&gt;"Supported",E518&lt;&gt;""),OR(G518&lt;&gt;"Supported",AND(F518="Supported",D518&lt;&gt;"",E518&lt;&gt;""))),"Yes","No"))</f>
        <v/>
      </c>
    </row>
    <row r="519" spans="11:11">
      <c r="K519" s="11">
        <f>IF(OR(A519="",C519=""),"",IF(AND(COUNTIF(Responses!$A$6:$A$205,A519)=1,B519&lt;&gt;"",COUNTIFS($A$6:$A$2005,A519,$B$6:$B$2005,B519)=1,OR(F519="Supported",F519="Unsupported",F519="Contradicted"),OR(G519="Supported",G519="Wrong citation",G519="Missing citation"),OR(H519="Yes",H519="No"),I519&lt;&gt;"",OR(F519&lt;&gt;"Supported",E519&lt;&gt;""),OR(G519&lt;&gt;"Supported",AND(F519="Supported",D519&lt;&gt;"",E519&lt;&gt;""))),"Yes","No"))</f>
        <v/>
      </c>
    </row>
    <row r="520" spans="11:11">
      <c r="K520" s="11">
        <f>IF(OR(A520="",C520=""),"",IF(AND(COUNTIF(Responses!$A$6:$A$205,A520)=1,B520&lt;&gt;"",COUNTIFS($A$6:$A$2005,A520,$B$6:$B$2005,B520)=1,OR(F520="Supported",F520="Unsupported",F520="Contradicted"),OR(G520="Supported",G520="Wrong citation",G520="Missing citation"),OR(H520="Yes",H520="No"),I520&lt;&gt;"",OR(F520&lt;&gt;"Supported",E520&lt;&gt;""),OR(G520&lt;&gt;"Supported",AND(F520="Supported",D520&lt;&gt;"",E520&lt;&gt;""))),"Yes","No"))</f>
        <v/>
      </c>
    </row>
    <row r="521" spans="11:11">
      <c r="K521" s="11">
        <f>IF(OR(A521="",C521=""),"",IF(AND(COUNTIF(Responses!$A$6:$A$205,A521)=1,B521&lt;&gt;"",COUNTIFS($A$6:$A$2005,A521,$B$6:$B$2005,B521)=1,OR(F521="Supported",F521="Unsupported",F521="Contradicted"),OR(G521="Supported",G521="Wrong citation",G521="Missing citation"),OR(H521="Yes",H521="No"),I521&lt;&gt;"",OR(F521&lt;&gt;"Supported",E521&lt;&gt;""),OR(G521&lt;&gt;"Supported",AND(F521="Supported",D521&lt;&gt;"",E521&lt;&gt;""))),"Yes","No"))</f>
        <v/>
      </c>
    </row>
    <row r="522" spans="11:11">
      <c r="K522" s="11">
        <f>IF(OR(A522="",C522=""),"",IF(AND(COUNTIF(Responses!$A$6:$A$205,A522)=1,B522&lt;&gt;"",COUNTIFS($A$6:$A$2005,A522,$B$6:$B$2005,B522)=1,OR(F522="Supported",F522="Unsupported",F522="Contradicted"),OR(G522="Supported",G522="Wrong citation",G522="Missing citation"),OR(H522="Yes",H522="No"),I522&lt;&gt;"",OR(F522&lt;&gt;"Supported",E522&lt;&gt;""),OR(G522&lt;&gt;"Supported",AND(F522="Supported",D522&lt;&gt;"",E522&lt;&gt;""))),"Yes","No"))</f>
        <v/>
      </c>
    </row>
    <row r="523" spans="11:11">
      <c r="K523" s="11">
        <f>IF(OR(A523="",C523=""),"",IF(AND(COUNTIF(Responses!$A$6:$A$205,A523)=1,B523&lt;&gt;"",COUNTIFS($A$6:$A$2005,A523,$B$6:$B$2005,B523)=1,OR(F523="Supported",F523="Unsupported",F523="Contradicted"),OR(G523="Supported",G523="Wrong citation",G523="Missing citation"),OR(H523="Yes",H523="No"),I523&lt;&gt;"",OR(F523&lt;&gt;"Supported",E523&lt;&gt;""),OR(G523&lt;&gt;"Supported",AND(F523="Supported",D523&lt;&gt;"",E523&lt;&gt;""))),"Yes","No"))</f>
        <v/>
      </c>
    </row>
    <row r="524" spans="11:11">
      <c r="K524" s="11">
        <f>IF(OR(A524="",C524=""),"",IF(AND(COUNTIF(Responses!$A$6:$A$205,A524)=1,B524&lt;&gt;"",COUNTIFS($A$6:$A$2005,A524,$B$6:$B$2005,B524)=1,OR(F524="Supported",F524="Unsupported",F524="Contradicted"),OR(G524="Supported",G524="Wrong citation",G524="Missing citation"),OR(H524="Yes",H524="No"),I524&lt;&gt;"",OR(F524&lt;&gt;"Supported",E524&lt;&gt;""),OR(G524&lt;&gt;"Supported",AND(F524="Supported",D524&lt;&gt;"",E524&lt;&gt;""))),"Yes","No"))</f>
        <v/>
      </c>
    </row>
    <row r="525" spans="11:11">
      <c r="K525" s="11">
        <f>IF(OR(A525="",C525=""),"",IF(AND(COUNTIF(Responses!$A$6:$A$205,A525)=1,B525&lt;&gt;"",COUNTIFS($A$6:$A$2005,A525,$B$6:$B$2005,B525)=1,OR(F525="Supported",F525="Unsupported",F525="Contradicted"),OR(G525="Supported",G525="Wrong citation",G525="Missing citation"),OR(H525="Yes",H525="No"),I525&lt;&gt;"",OR(F525&lt;&gt;"Supported",E525&lt;&gt;""),OR(G525&lt;&gt;"Supported",AND(F525="Supported",D525&lt;&gt;"",E525&lt;&gt;""))),"Yes","No"))</f>
        <v/>
      </c>
    </row>
    <row r="526" spans="11:11">
      <c r="K526" s="11">
        <f>IF(OR(A526="",C526=""),"",IF(AND(COUNTIF(Responses!$A$6:$A$205,A526)=1,B526&lt;&gt;"",COUNTIFS($A$6:$A$2005,A526,$B$6:$B$2005,B526)=1,OR(F526="Supported",F526="Unsupported",F526="Contradicted"),OR(G526="Supported",G526="Wrong citation",G526="Missing citation"),OR(H526="Yes",H526="No"),I526&lt;&gt;"",OR(F526&lt;&gt;"Supported",E526&lt;&gt;""),OR(G526&lt;&gt;"Supported",AND(F526="Supported",D526&lt;&gt;"",E526&lt;&gt;""))),"Yes","No"))</f>
        <v/>
      </c>
    </row>
    <row r="527" spans="11:11">
      <c r="K527" s="11">
        <f>IF(OR(A527="",C527=""),"",IF(AND(COUNTIF(Responses!$A$6:$A$205,A527)=1,B527&lt;&gt;"",COUNTIFS($A$6:$A$2005,A527,$B$6:$B$2005,B527)=1,OR(F527="Supported",F527="Unsupported",F527="Contradicted"),OR(G527="Supported",G527="Wrong citation",G527="Missing citation"),OR(H527="Yes",H527="No"),I527&lt;&gt;"",OR(F527&lt;&gt;"Supported",E527&lt;&gt;""),OR(G527&lt;&gt;"Supported",AND(F527="Supported",D527&lt;&gt;"",E527&lt;&gt;""))),"Yes","No"))</f>
        <v/>
      </c>
    </row>
    <row r="528" spans="11:11">
      <c r="K528" s="11">
        <f>IF(OR(A528="",C528=""),"",IF(AND(COUNTIF(Responses!$A$6:$A$205,A528)=1,B528&lt;&gt;"",COUNTIFS($A$6:$A$2005,A528,$B$6:$B$2005,B528)=1,OR(F528="Supported",F528="Unsupported",F528="Contradicted"),OR(G528="Supported",G528="Wrong citation",G528="Missing citation"),OR(H528="Yes",H528="No"),I528&lt;&gt;"",OR(F528&lt;&gt;"Supported",E528&lt;&gt;""),OR(G528&lt;&gt;"Supported",AND(F528="Supported",D528&lt;&gt;"",E528&lt;&gt;""))),"Yes","No"))</f>
        <v/>
      </c>
    </row>
    <row r="529" spans="11:11">
      <c r="K529" s="11">
        <f>IF(OR(A529="",C529=""),"",IF(AND(COUNTIF(Responses!$A$6:$A$205,A529)=1,B529&lt;&gt;"",COUNTIFS($A$6:$A$2005,A529,$B$6:$B$2005,B529)=1,OR(F529="Supported",F529="Unsupported",F529="Contradicted"),OR(G529="Supported",G529="Wrong citation",G529="Missing citation"),OR(H529="Yes",H529="No"),I529&lt;&gt;"",OR(F529&lt;&gt;"Supported",E529&lt;&gt;""),OR(G529&lt;&gt;"Supported",AND(F529="Supported",D529&lt;&gt;"",E529&lt;&gt;""))),"Yes","No"))</f>
        <v/>
      </c>
    </row>
    <row r="530" spans="11:11">
      <c r="K530" s="11">
        <f>IF(OR(A530="",C530=""),"",IF(AND(COUNTIF(Responses!$A$6:$A$205,A530)=1,B530&lt;&gt;"",COUNTIFS($A$6:$A$2005,A530,$B$6:$B$2005,B530)=1,OR(F530="Supported",F530="Unsupported",F530="Contradicted"),OR(G530="Supported",G530="Wrong citation",G530="Missing citation"),OR(H530="Yes",H530="No"),I530&lt;&gt;"",OR(F530&lt;&gt;"Supported",E530&lt;&gt;""),OR(G530&lt;&gt;"Supported",AND(F530="Supported",D530&lt;&gt;"",E530&lt;&gt;""))),"Yes","No"))</f>
        <v/>
      </c>
    </row>
    <row r="531" spans="11:11">
      <c r="K531" s="11">
        <f>IF(OR(A531="",C531=""),"",IF(AND(COUNTIF(Responses!$A$6:$A$205,A531)=1,B531&lt;&gt;"",COUNTIFS($A$6:$A$2005,A531,$B$6:$B$2005,B531)=1,OR(F531="Supported",F531="Unsupported",F531="Contradicted"),OR(G531="Supported",G531="Wrong citation",G531="Missing citation"),OR(H531="Yes",H531="No"),I531&lt;&gt;"",OR(F531&lt;&gt;"Supported",E531&lt;&gt;""),OR(G531&lt;&gt;"Supported",AND(F531="Supported",D531&lt;&gt;"",E531&lt;&gt;""))),"Yes","No"))</f>
        <v/>
      </c>
    </row>
    <row r="532" spans="11:11">
      <c r="K532" s="11">
        <f>IF(OR(A532="",C532=""),"",IF(AND(COUNTIF(Responses!$A$6:$A$205,A532)=1,B532&lt;&gt;"",COUNTIFS($A$6:$A$2005,A532,$B$6:$B$2005,B532)=1,OR(F532="Supported",F532="Unsupported",F532="Contradicted"),OR(G532="Supported",G532="Wrong citation",G532="Missing citation"),OR(H532="Yes",H532="No"),I532&lt;&gt;"",OR(F532&lt;&gt;"Supported",E532&lt;&gt;""),OR(G532&lt;&gt;"Supported",AND(F532="Supported",D532&lt;&gt;"",E532&lt;&gt;""))),"Yes","No"))</f>
        <v/>
      </c>
    </row>
    <row r="533" spans="11:11">
      <c r="K533" s="11">
        <f>IF(OR(A533="",C533=""),"",IF(AND(COUNTIF(Responses!$A$6:$A$205,A533)=1,B533&lt;&gt;"",COUNTIFS($A$6:$A$2005,A533,$B$6:$B$2005,B533)=1,OR(F533="Supported",F533="Unsupported",F533="Contradicted"),OR(G533="Supported",G533="Wrong citation",G533="Missing citation"),OR(H533="Yes",H533="No"),I533&lt;&gt;"",OR(F533&lt;&gt;"Supported",E533&lt;&gt;""),OR(G533&lt;&gt;"Supported",AND(F533="Supported",D533&lt;&gt;"",E533&lt;&gt;""))),"Yes","No"))</f>
        <v/>
      </c>
    </row>
    <row r="534" spans="11:11">
      <c r="K534" s="11">
        <f>IF(OR(A534="",C534=""),"",IF(AND(COUNTIF(Responses!$A$6:$A$205,A534)=1,B534&lt;&gt;"",COUNTIFS($A$6:$A$2005,A534,$B$6:$B$2005,B534)=1,OR(F534="Supported",F534="Unsupported",F534="Contradicted"),OR(G534="Supported",G534="Wrong citation",G534="Missing citation"),OR(H534="Yes",H534="No"),I534&lt;&gt;"",OR(F534&lt;&gt;"Supported",E534&lt;&gt;""),OR(G534&lt;&gt;"Supported",AND(F534="Supported",D534&lt;&gt;"",E534&lt;&gt;""))),"Yes","No"))</f>
        <v/>
      </c>
    </row>
    <row r="535" spans="11:11">
      <c r="K535" s="11">
        <f>IF(OR(A535="",C535=""),"",IF(AND(COUNTIF(Responses!$A$6:$A$205,A535)=1,B535&lt;&gt;"",COUNTIFS($A$6:$A$2005,A535,$B$6:$B$2005,B535)=1,OR(F535="Supported",F535="Unsupported",F535="Contradicted"),OR(G535="Supported",G535="Wrong citation",G535="Missing citation"),OR(H535="Yes",H535="No"),I535&lt;&gt;"",OR(F535&lt;&gt;"Supported",E535&lt;&gt;""),OR(G535&lt;&gt;"Supported",AND(F535="Supported",D535&lt;&gt;"",E535&lt;&gt;""))),"Yes","No"))</f>
        <v/>
      </c>
    </row>
    <row r="536" spans="11:11">
      <c r="K536" s="11">
        <f>IF(OR(A536="",C536=""),"",IF(AND(COUNTIF(Responses!$A$6:$A$205,A536)=1,B536&lt;&gt;"",COUNTIFS($A$6:$A$2005,A536,$B$6:$B$2005,B536)=1,OR(F536="Supported",F536="Unsupported",F536="Contradicted"),OR(G536="Supported",G536="Wrong citation",G536="Missing citation"),OR(H536="Yes",H536="No"),I536&lt;&gt;"",OR(F536&lt;&gt;"Supported",E536&lt;&gt;""),OR(G536&lt;&gt;"Supported",AND(F536="Supported",D536&lt;&gt;"",E536&lt;&gt;""))),"Yes","No"))</f>
        <v/>
      </c>
    </row>
    <row r="537" spans="11:11">
      <c r="K537" s="11">
        <f>IF(OR(A537="",C537=""),"",IF(AND(COUNTIF(Responses!$A$6:$A$205,A537)=1,B537&lt;&gt;"",COUNTIFS($A$6:$A$2005,A537,$B$6:$B$2005,B537)=1,OR(F537="Supported",F537="Unsupported",F537="Contradicted"),OR(G537="Supported",G537="Wrong citation",G537="Missing citation"),OR(H537="Yes",H537="No"),I537&lt;&gt;"",OR(F537&lt;&gt;"Supported",E537&lt;&gt;""),OR(G537&lt;&gt;"Supported",AND(F537="Supported",D537&lt;&gt;"",E537&lt;&gt;""))),"Yes","No"))</f>
        <v/>
      </c>
    </row>
    <row r="538" spans="11:11">
      <c r="K538" s="11">
        <f>IF(OR(A538="",C538=""),"",IF(AND(COUNTIF(Responses!$A$6:$A$205,A538)=1,B538&lt;&gt;"",COUNTIFS($A$6:$A$2005,A538,$B$6:$B$2005,B538)=1,OR(F538="Supported",F538="Unsupported",F538="Contradicted"),OR(G538="Supported",G538="Wrong citation",G538="Missing citation"),OR(H538="Yes",H538="No"),I538&lt;&gt;"",OR(F538&lt;&gt;"Supported",E538&lt;&gt;""),OR(G538&lt;&gt;"Supported",AND(F538="Supported",D538&lt;&gt;"",E538&lt;&gt;""))),"Yes","No"))</f>
        <v/>
      </c>
    </row>
    <row r="539" spans="11:11">
      <c r="K539" s="11">
        <f>IF(OR(A539="",C539=""),"",IF(AND(COUNTIF(Responses!$A$6:$A$205,A539)=1,B539&lt;&gt;"",COUNTIFS($A$6:$A$2005,A539,$B$6:$B$2005,B539)=1,OR(F539="Supported",F539="Unsupported",F539="Contradicted"),OR(G539="Supported",G539="Wrong citation",G539="Missing citation"),OR(H539="Yes",H539="No"),I539&lt;&gt;"",OR(F539&lt;&gt;"Supported",E539&lt;&gt;""),OR(G539&lt;&gt;"Supported",AND(F539="Supported",D539&lt;&gt;"",E539&lt;&gt;""))),"Yes","No"))</f>
        <v/>
      </c>
    </row>
    <row r="540" spans="11:11">
      <c r="K540" s="11">
        <f>IF(OR(A540="",C540=""),"",IF(AND(COUNTIF(Responses!$A$6:$A$205,A540)=1,B540&lt;&gt;"",COUNTIFS($A$6:$A$2005,A540,$B$6:$B$2005,B540)=1,OR(F540="Supported",F540="Unsupported",F540="Contradicted"),OR(G540="Supported",G540="Wrong citation",G540="Missing citation"),OR(H540="Yes",H540="No"),I540&lt;&gt;"",OR(F540&lt;&gt;"Supported",E540&lt;&gt;""),OR(G540&lt;&gt;"Supported",AND(F540="Supported",D540&lt;&gt;"",E540&lt;&gt;""))),"Yes","No"))</f>
        <v/>
      </c>
    </row>
    <row r="541" spans="11:11">
      <c r="K541" s="11">
        <f>IF(OR(A541="",C541=""),"",IF(AND(COUNTIF(Responses!$A$6:$A$205,A541)=1,B541&lt;&gt;"",COUNTIFS($A$6:$A$2005,A541,$B$6:$B$2005,B541)=1,OR(F541="Supported",F541="Unsupported",F541="Contradicted"),OR(G541="Supported",G541="Wrong citation",G541="Missing citation"),OR(H541="Yes",H541="No"),I541&lt;&gt;"",OR(F541&lt;&gt;"Supported",E541&lt;&gt;""),OR(G541&lt;&gt;"Supported",AND(F541="Supported",D541&lt;&gt;"",E541&lt;&gt;""))),"Yes","No"))</f>
        <v/>
      </c>
    </row>
    <row r="542" spans="11:11">
      <c r="K542" s="11">
        <f>IF(OR(A542="",C542=""),"",IF(AND(COUNTIF(Responses!$A$6:$A$205,A542)=1,B542&lt;&gt;"",COUNTIFS($A$6:$A$2005,A542,$B$6:$B$2005,B542)=1,OR(F542="Supported",F542="Unsupported",F542="Contradicted"),OR(G542="Supported",G542="Wrong citation",G542="Missing citation"),OR(H542="Yes",H542="No"),I542&lt;&gt;"",OR(F542&lt;&gt;"Supported",E542&lt;&gt;""),OR(G542&lt;&gt;"Supported",AND(F542="Supported",D542&lt;&gt;"",E542&lt;&gt;""))),"Yes","No"))</f>
        <v/>
      </c>
    </row>
    <row r="543" spans="11:11">
      <c r="K543" s="11">
        <f>IF(OR(A543="",C543=""),"",IF(AND(COUNTIF(Responses!$A$6:$A$205,A543)=1,B543&lt;&gt;"",COUNTIFS($A$6:$A$2005,A543,$B$6:$B$2005,B543)=1,OR(F543="Supported",F543="Unsupported",F543="Contradicted"),OR(G543="Supported",G543="Wrong citation",G543="Missing citation"),OR(H543="Yes",H543="No"),I543&lt;&gt;"",OR(F543&lt;&gt;"Supported",E543&lt;&gt;""),OR(G543&lt;&gt;"Supported",AND(F543="Supported",D543&lt;&gt;"",E543&lt;&gt;""))),"Yes","No"))</f>
        <v/>
      </c>
    </row>
    <row r="544" spans="11:11">
      <c r="K544" s="11">
        <f>IF(OR(A544="",C544=""),"",IF(AND(COUNTIF(Responses!$A$6:$A$205,A544)=1,B544&lt;&gt;"",COUNTIFS($A$6:$A$2005,A544,$B$6:$B$2005,B544)=1,OR(F544="Supported",F544="Unsupported",F544="Contradicted"),OR(G544="Supported",G544="Wrong citation",G544="Missing citation"),OR(H544="Yes",H544="No"),I544&lt;&gt;"",OR(F544&lt;&gt;"Supported",E544&lt;&gt;""),OR(G544&lt;&gt;"Supported",AND(F544="Supported",D544&lt;&gt;"",E544&lt;&gt;""))),"Yes","No"))</f>
        <v/>
      </c>
    </row>
    <row r="545" spans="11:11">
      <c r="K545" s="11">
        <f>IF(OR(A545="",C545=""),"",IF(AND(COUNTIF(Responses!$A$6:$A$205,A545)=1,B545&lt;&gt;"",COUNTIFS($A$6:$A$2005,A545,$B$6:$B$2005,B545)=1,OR(F545="Supported",F545="Unsupported",F545="Contradicted"),OR(G545="Supported",G545="Wrong citation",G545="Missing citation"),OR(H545="Yes",H545="No"),I545&lt;&gt;"",OR(F545&lt;&gt;"Supported",E545&lt;&gt;""),OR(G545&lt;&gt;"Supported",AND(F545="Supported",D545&lt;&gt;"",E545&lt;&gt;""))),"Yes","No"))</f>
        <v/>
      </c>
    </row>
    <row r="546" spans="11:11">
      <c r="K546" s="11">
        <f>IF(OR(A546="",C546=""),"",IF(AND(COUNTIF(Responses!$A$6:$A$205,A546)=1,B546&lt;&gt;"",COUNTIFS($A$6:$A$2005,A546,$B$6:$B$2005,B546)=1,OR(F546="Supported",F546="Unsupported",F546="Contradicted"),OR(G546="Supported",G546="Wrong citation",G546="Missing citation"),OR(H546="Yes",H546="No"),I546&lt;&gt;"",OR(F546&lt;&gt;"Supported",E546&lt;&gt;""),OR(G546&lt;&gt;"Supported",AND(F546="Supported",D546&lt;&gt;"",E546&lt;&gt;""))),"Yes","No"))</f>
        <v/>
      </c>
    </row>
    <row r="547" spans="11:11">
      <c r="K547" s="11">
        <f>IF(OR(A547="",C547=""),"",IF(AND(COUNTIF(Responses!$A$6:$A$205,A547)=1,B547&lt;&gt;"",COUNTIFS($A$6:$A$2005,A547,$B$6:$B$2005,B547)=1,OR(F547="Supported",F547="Unsupported",F547="Contradicted"),OR(G547="Supported",G547="Wrong citation",G547="Missing citation"),OR(H547="Yes",H547="No"),I547&lt;&gt;"",OR(F547&lt;&gt;"Supported",E547&lt;&gt;""),OR(G547&lt;&gt;"Supported",AND(F547="Supported",D547&lt;&gt;"",E547&lt;&gt;""))),"Yes","No"))</f>
        <v/>
      </c>
    </row>
    <row r="548" spans="11:11">
      <c r="K548" s="11">
        <f>IF(OR(A548="",C548=""),"",IF(AND(COUNTIF(Responses!$A$6:$A$205,A548)=1,B548&lt;&gt;"",COUNTIFS($A$6:$A$2005,A548,$B$6:$B$2005,B548)=1,OR(F548="Supported",F548="Unsupported",F548="Contradicted"),OR(G548="Supported",G548="Wrong citation",G548="Missing citation"),OR(H548="Yes",H548="No"),I548&lt;&gt;"",OR(F548&lt;&gt;"Supported",E548&lt;&gt;""),OR(G548&lt;&gt;"Supported",AND(F548="Supported",D548&lt;&gt;"",E548&lt;&gt;""))),"Yes","No"))</f>
        <v/>
      </c>
    </row>
    <row r="549" spans="11:11">
      <c r="K549" s="11">
        <f>IF(OR(A549="",C549=""),"",IF(AND(COUNTIF(Responses!$A$6:$A$205,A549)=1,B549&lt;&gt;"",COUNTIFS($A$6:$A$2005,A549,$B$6:$B$2005,B549)=1,OR(F549="Supported",F549="Unsupported",F549="Contradicted"),OR(G549="Supported",G549="Wrong citation",G549="Missing citation"),OR(H549="Yes",H549="No"),I549&lt;&gt;"",OR(F549&lt;&gt;"Supported",E549&lt;&gt;""),OR(G549&lt;&gt;"Supported",AND(F549="Supported",D549&lt;&gt;"",E549&lt;&gt;""))),"Yes","No"))</f>
        <v/>
      </c>
    </row>
    <row r="550" spans="11:11">
      <c r="K550" s="11">
        <f>IF(OR(A550="",C550=""),"",IF(AND(COUNTIF(Responses!$A$6:$A$205,A550)=1,B550&lt;&gt;"",COUNTIFS($A$6:$A$2005,A550,$B$6:$B$2005,B550)=1,OR(F550="Supported",F550="Unsupported",F550="Contradicted"),OR(G550="Supported",G550="Wrong citation",G550="Missing citation"),OR(H550="Yes",H550="No"),I550&lt;&gt;"",OR(F550&lt;&gt;"Supported",E550&lt;&gt;""),OR(G550&lt;&gt;"Supported",AND(F550="Supported",D550&lt;&gt;"",E550&lt;&gt;""))),"Yes","No"))</f>
        <v/>
      </c>
    </row>
    <row r="551" spans="11:11">
      <c r="K551" s="11">
        <f>IF(OR(A551="",C551=""),"",IF(AND(COUNTIF(Responses!$A$6:$A$205,A551)=1,B551&lt;&gt;"",COUNTIFS($A$6:$A$2005,A551,$B$6:$B$2005,B551)=1,OR(F551="Supported",F551="Unsupported",F551="Contradicted"),OR(G551="Supported",G551="Wrong citation",G551="Missing citation"),OR(H551="Yes",H551="No"),I551&lt;&gt;"",OR(F551&lt;&gt;"Supported",E551&lt;&gt;""),OR(G551&lt;&gt;"Supported",AND(F551="Supported",D551&lt;&gt;"",E551&lt;&gt;""))),"Yes","No"))</f>
        <v/>
      </c>
    </row>
    <row r="552" spans="11:11">
      <c r="K552" s="11">
        <f>IF(OR(A552="",C552=""),"",IF(AND(COUNTIF(Responses!$A$6:$A$205,A552)=1,B552&lt;&gt;"",COUNTIFS($A$6:$A$2005,A552,$B$6:$B$2005,B552)=1,OR(F552="Supported",F552="Unsupported",F552="Contradicted"),OR(G552="Supported",G552="Wrong citation",G552="Missing citation"),OR(H552="Yes",H552="No"),I552&lt;&gt;"",OR(F552&lt;&gt;"Supported",E552&lt;&gt;""),OR(G552&lt;&gt;"Supported",AND(F552="Supported",D552&lt;&gt;"",E552&lt;&gt;""))),"Yes","No"))</f>
        <v/>
      </c>
    </row>
    <row r="553" spans="11:11">
      <c r="K553" s="11">
        <f>IF(OR(A553="",C553=""),"",IF(AND(COUNTIF(Responses!$A$6:$A$205,A553)=1,B553&lt;&gt;"",COUNTIFS($A$6:$A$2005,A553,$B$6:$B$2005,B553)=1,OR(F553="Supported",F553="Unsupported",F553="Contradicted"),OR(G553="Supported",G553="Wrong citation",G553="Missing citation"),OR(H553="Yes",H553="No"),I553&lt;&gt;"",OR(F553&lt;&gt;"Supported",E553&lt;&gt;""),OR(G553&lt;&gt;"Supported",AND(F553="Supported",D553&lt;&gt;"",E553&lt;&gt;""))),"Yes","No"))</f>
        <v/>
      </c>
    </row>
    <row r="554" spans="11:11">
      <c r="K554" s="11">
        <f>IF(OR(A554="",C554=""),"",IF(AND(COUNTIF(Responses!$A$6:$A$205,A554)=1,B554&lt;&gt;"",COUNTIFS($A$6:$A$2005,A554,$B$6:$B$2005,B554)=1,OR(F554="Supported",F554="Unsupported",F554="Contradicted"),OR(G554="Supported",G554="Wrong citation",G554="Missing citation"),OR(H554="Yes",H554="No"),I554&lt;&gt;"",OR(F554&lt;&gt;"Supported",E554&lt;&gt;""),OR(G554&lt;&gt;"Supported",AND(F554="Supported",D554&lt;&gt;"",E554&lt;&gt;""))),"Yes","No"))</f>
        <v/>
      </c>
    </row>
    <row r="555" spans="11:11">
      <c r="K555" s="11">
        <f>IF(OR(A555="",C555=""),"",IF(AND(COUNTIF(Responses!$A$6:$A$205,A555)=1,B555&lt;&gt;"",COUNTIFS($A$6:$A$2005,A555,$B$6:$B$2005,B555)=1,OR(F555="Supported",F555="Unsupported",F555="Contradicted"),OR(G555="Supported",G555="Wrong citation",G555="Missing citation"),OR(H555="Yes",H555="No"),I555&lt;&gt;"",OR(F555&lt;&gt;"Supported",E555&lt;&gt;""),OR(G555&lt;&gt;"Supported",AND(F555="Supported",D555&lt;&gt;"",E555&lt;&gt;""))),"Yes","No"))</f>
        <v/>
      </c>
    </row>
    <row r="556" spans="11:11">
      <c r="K556" s="11">
        <f>IF(OR(A556="",C556=""),"",IF(AND(COUNTIF(Responses!$A$6:$A$205,A556)=1,B556&lt;&gt;"",COUNTIFS($A$6:$A$2005,A556,$B$6:$B$2005,B556)=1,OR(F556="Supported",F556="Unsupported",F556="Contradicted"),OR(G556="Supported",G556="Wrong citation",G556="Missing citation"),OR(H556="Yes",H556="No"),I556&lt;&gt;"",OR(F556&lt;&gt;"Supported",E556&lt;&gt;""),OR(G556&lt;&gt;"Supported",AND(F556="Supported",D556&lt;&gt;"",E556&lt;&gt;""))),"Yes","No"))</f>
        <v/>
      </c>
    </row>
    <row r="557" spans="11:11">
      <c r="K557" s="11">
        <f>IF(OR(A557="",C557=""),"",IF(AND(COUNTIF(Responses!$A$6:$A$205,A557)=1,B557&lt;&gt;"",COUNTIFS($A$6:$A$2005,A557,$B$6:$B$2005,B557)=1,OR(F557="Supported",F557="Unsupported",F557="Contradicted"),OR(G557="Supported",G557="Wrong citation",G557="Missing citation"),OR(H557="Yes",H557="No"),I557&lt;&gt;"",OR(F557&lt;&gt;"Supported",E557&lt;&gt;""),OR(G557&lt;&gt;"Supported",AND(F557="Supported",D557&lt;&gt;"",E557&lt;&gt;""))),"Yes","No"))</f>
        <v/>
      </c>
    </row>
    <row r="558" spans="11:11">
      <c r="K558" s="11">
        <f>IF(OR(A558="",C558=""),"",IF(AND(COUNTIF(Responses!$A$6:$A$205,A558)=1,B558&lt;&gt;"",COUNTIFS($A$6:$A$2005,A558,$B$6:$B$2005,B558)=1,OR(F558="Supported",F558="Unsupported",F558="Contradicted"),OR(G558="Supported",G558="Wrong citation",G558="Missing citation"),OR(H558="Yes",H558="No"),I558&lt;&gt;"",OR(F558&lt;&gt;"Supported",E558&lt;&gt;""),OR(G558&lt;&gt;"Supported",AND(F558="Supported",D558&lt;&gt;"",E558&lt;&gt;""))),"Yes","No"))</f>
        <v/>
      </c>
    </row>
    <row r="559" spans="11:11">
      <c r="K559" s="11">
        <f>IF(OR(A559="",C559=""),"",IF(AND(COUNTIF(Responses!$A$6:$A$205,A559)=1,B559&lt;&gt;"",COUNTIFS($A$6:$A$2005,A559,$B$6:$B$2005,B559)=1,OR(F559="Supported",F559="Unsupported",F559="Contradicted"),OR(G559="Supported",G559="Wrong citation",G559="Missing citation"),OR(H559="Yes",H559="No"),I559&lt;&gt;"",OR(F559&lt;&gt;"Supported",E559&lt;&gt;""),OR(G559&lt;&gt;"Supported",AND(F559="Supported",D559&lt;&gt;"",E559&lt;&gt;""))),"Yes","No"))</f>
        <v/>
      </c>
    </row>
    <row r="560" spans="11:11">
      <c r="K560" s="11">
        <f>IF(OR(A560="",C560=""),"",IF(AND(COUNTIF(Responses!$A$6:$A$205,A560)=1,B560&lt;&gt;"",COUNTIFS($A$6:$A$2005,A560,$B$6:$B$2005,B560)=1,OR(F560="Supported",F560="Unsupported",F560="Contradicted"),OR(G560="Supported",G560="Wrong citation",G560="Missing citation"),OR(H560="Yes",H560="No"),I560&lt;&gt;"",OR(F560&lt;&gt;"Supported",E560&lt;&gt;""),OR(G560&lt;&gt;"Supported",AND(F560="Supported",D560&lt;&gt;"",E560&lt;&gt;""))),"Yes","No"))</f>
        <v/>
      </c>
    </row>
    <row r="561" spans="11:11">
      <c r="K561" s="11">
        <f>IF(OR(A561="",C561=""),"",IF(AND(COUNTIF(Responses!$A$6:$A$205,A561)=1,B561&lt;&gt;"",COUNTIFS($A$6:$A$2005,A561,$B$6:$B$2005,B561)=1,OR(F561="Supported",F561="Unsupported",F561="Contradicted"),OR(G561="Supported",G561="Wrong citation",G561="Missing citation"),OR(H561="Yes",H561="No"),I561&lt;&gt;"",OR(F561&lt;&gt;"Supported",E561&lt;&gt;""),OR(G561&lt;&gt;"Supported",AND(F561="Supported",D561&lt;&gt;"",E561&lt;&gt;""))),"Yes","No"))</f>
        <v/>
      </c>
    </row>
    <row r="562" spans="11:11">
      <c r="K562" s="11">
        <f>IF(OR(A562="",C562=""),"",IF(AND(COUNTIF(Responses!$A$6:$A$205,A562)=1,B562&lt;&gt;"",COUNTIFS($A$6:$A$2005,A562,$B$6:$B$2005,B562)=1,OR(F562="Supported",F562="Unsupported",F562="Contradicted"),OR(G562="Supported",G562="Wrong citation",G562="Missing citation"),OR(H562="Yes",H562="No"),I562&lt;&gt;"",OR(F562&lt;&gt;"Supported",E562&lt;&gt;""),OR(G562&lt;&gt;"Supported",AND(F562="Supported",D562&lt;&gt;"",E562&lt;&gt;""))),"Yes","No"))</f>
        <v/>
      </c>
    </row>
    <row r="563" spans="11:11">
      <c r="K563" s="11">
        <f>IF(OR(A563="",C563=""),"",IF(AND(COUNTIF(Responses!$A$6:$A$205,A563)=1,B563&lt;&gt;"",COUNTIFS($A$6:$A$2005,A563,$B$6:$B$2005,B563)=1,OR(F563="Supported",F563="Unsupported",F563="Contradicted"),OR(G563="Supported",G563="Wrong citation",G563="Missing citation"),OR(H563="Yes",H563="No"),I563&lt;&gt;"",OR(F563&lt;&gt;"Supported",E563&lt;&gt;""),OR(G563&lt;&gt;"Supported",AND(F563="Supported",D563&lt;&gt;"",E563&lt;&gt;""))),"Yes","No"))</f>
        <v/>
      </c>
    </row>
    <row r="564" spans="11:11">
      <c r="K564" s="11">
        <f>IF(OR(A564="",C564=""),"",IF(AND(COUNTIF(Responses!$A$6:$A$205,A564)=1,B564&lt;&gt;"",COUNTIFS($A$6:$A$2005,A564,$B$6:$B$2005,B564)=1,OR(F564="Supported",F564="Unsupported",F564="Contradicted"),OR(G564="Supported",G564="Wrong citation",G564="Missing citation"),OR(H564="Yes",H564="No"),I564&lt;&gt;"",OR(F564&lt;&gt;"Supported",E564&lt;&gt;""),OR(G564&lt;&gt;"Supported",AND(F564="Supported",D564&lt;&gt;"",E564&lt;&gt;""))),"Yes","No"))</f>
        <v/>
      </c>
    </row>
    <row r="565" spans="11:11">
      <c r="K565" s="11">
        <f>IF(OR(A565="",C565=""),"",IF(AND(COUNTIF(Responses!$A$6:$A$205,A565)=1,B565&lt;&gt;"",COUNTIFS($A$6:$A$2005,A565,$B$6:$B$2005,B565)=1,OR(F565="Supported",F565="Unsupported",F565="Contradicted"),OR(G565="Supported",G565="Wrong citation",G565="Missing citation"),OR(H565="Yes",H565="No"),I565&lt;&gt;"",OR(F565&lt;&gt;"Supported",E565&lt;&gt;""),OR(G565&lt;&gt;"Supported",AND(F565="Supported",D565&lt;&gt;"",E565&lt;&gt;""))),"Yes","No"))</f>
        <v/>
      </c>
    </row>
    <row r="566" spans="11:11">
      <c r="K566" s="11">
        <f>IF(OR(A566="",C566=""),"",IF(AND(COUNTIF(Responses!$A$6:$A$205,A566)=1,B566&lt;&gt;"",COUNTIFS($A$6:$A$2005,A566,$B$6:$B$2005,B566)=1,OR(F566="Supported",F566="Unsupported",F566="Contradicted"),OR(G566="Supported",G566="Wrong citation",G566="Missing citation"),OR(H566="Yes",H566="No"),I566&lt;&gt;"",OR(F566&lt;&gt;"Supported",E566&lt;&gt;""),OR(G566&lt;&gt;"Supported",AND(F566="Supported",D566&lt;&gt;"",E566&lt;&gt;""))),"Yes","No"))</f>
        <v/>
      </c>
    </row>
    <row r="567" spans="11:11">
      <c r="K567" s="11">
        <f>IF(OR(A567="",C567=""),"",IF(AND(COUNTIF(Responses!$A$6:$A$205,A567)=1,B567&lt;&gt;"",COUNTIFS($A$6:$A$2005,A567,$B$6:$B$2005,B567)=1,OR(F567="Supported",F567="Unsupported",F567="Contradicted"),OR(G567="Supported",G567="Wrong citation",G567="Missing citation"),OR(H567="Yes",H567="No"),I567&lt;&gt;"",OR(F567&lt;&gt;"Supported",E567&lt;&gt;""),OR(G567&lt;&gt;"Supported",AND(F567="Supported",D567&lt;&gt;"",E567&lt;&gt;""))),"Yes","No"))</f>
        <v/>
      </c>
    </row>
    <row r="568" spans="11:11">
      <c r="K568" s="11">
        <f>IF(OR(A568="",C568=""),"",IF(AND(COUNTIF(Responses!$A$6:$A$205,A568)=1,B568&lt;&gt;"",COUNTIFS($A$6:$A$2005,A568,$B$6:$B$2005,B568)=1,OR(F568="Supported",F568="Unsupported",F568="Contradicted"),OR(G568="Supported",G568="Wrong citation",G568="Missing citation"),OR(H568="Yes",H568="No"),I568&lt;&gt;"",OR(F568&lt;&gt;"Supported",E568&lt;&gt;""),OR(G568&lt;&gt;"Supported",AND(F568="Supported",D568&lt;&gt;"",E568&lt;&gt;""))),"Yes","No"))</f>
        <v/>
      </c>
    </row>
    <row r="569" spans="11:11">
      <c r="K569" s="11">
        <f>IF(OR(A569="",C569=""),"",IF(AND(COUNTIF(Responses!$A$6:$A$205,A569)=1,B569&lt;&gt;"",COUNTIFS($A$6:$A$2005,A569,$B$6:$B$2005,B569)=1,OR(F569="Supported",F569="Unsupported",F569="Contradicted"),OR(G569="Supported",G569="Wrong citation",G569="Missing citation"),OR(H569="Yes",H569="No"),I569&lt;&gt;"",OR(F569&lt;&gt;"Supported",E569&lt;&gt;""),OR(G569&lt;&gt;"Supported",AND(F569="Supported",D569&lt;&gt;"",E569&lt;&gt;""))),"Yes","No"))</f>
        <v/>
      </c>
    </row>
    <row r="570" spans="11:11">
      <c r="K570" s="11">
        <f>IF(OR(A570="",C570=""),"",IF(AND(COUNTIF(Responses!$A$6:$A$205,A570)=1,B570&lt;&gt;"",COUNTIFS($A$6:$A$2005,A570,$B$6:$B$2005,B570)=1,OR(F570="Supported",F570="Unsupported",F570="Contradicted"),OR(G570="Supported",G570="Wrong citation",G570="Missing citation"),OR(H570="Yes",H570="No"),I570&lt;&gt;"",OR(F570&lt;&gt;"Supported",E570&lt;&gt;""),OR(G570&lt;&gt;"Supported",AND(F570="Supported",D570&lt;&gt;"",E570&lt;&gt;""))),"Yes","No"))</f>
        <v/>
      </c>
    </row>
    <row r="571" spans="11:11">
      <c r="K571" s="11">
        <f>IF(OR(A571="",C571=""),"",IF(AND(COUNTIF(Responses!$A$6:$A$205,A571)=1,B571&lt;&gt;"",COUNTIFS($A$6:$A$2005,A571,$B$6:$B$2005,B571)=1,OR(F571="Supported",F571="Unsupported",F571="Contradicted"),OR(G571="Supported",G571="Wrong citation",G571="Missing citation"),OR(H571="Yes",H571="No"),I571&lt;&gt;"",OR(F571&lt;&gt;"Supported",E571&lt;&gt;""),OR(G571&lt;&gt;"Supported",AND(F571="Supported",D571&lt;&gt;"",E571&lt;&gt;""))),"Yes","No"))</f>
        <v/>
      </c>
    </row>
    <row r="572" spans="11:11">
      <c r="K572" s="11">
        <f>IF(OR(A572="",C572=""),"",IF(AND(COUNTIF(Responses!$A$6:$A$205,A572)=1,B572&lt;&gt;"",COUNTIFS($A$6:$A$2005,A572,$B$6:$B$2005,B572)=1,OR(F572="Supported",F572="Unsupported",F572="Contradicted"),OR(G572="Supported",G572="Wrong citation",G572="Missing citation"),OR(H572="Yes",H572="No"),I572&lt;&gt;"",OR(F572&lt;&gt;"Supported",E572&lt;&gt;""),OR(G572&lt;&gt;"Supported",AND(F572="Supported",D572&lt;&gt;"",E572&lt;&gt;""))),"Yes","No"))</f>
        <v/>
      </c>
    </row>
    <row r="573" spans="11:11">
      <c r="K573" s="11">
        <f>IF(OR(A573="",C573=""),"",IF(AND(COUNTIF(Responses!$A$6:$A$205,A573)=1,B573&lt;&gt;"",COUNTIFS($A$6:$A$2005,A573,$B$6:$B$2005,B573)=1,OR(F573="Supported",F573="Unsupported",F573="Contradicted"),OR(G573="Supported",G573="Wrong citation",G573="Missing citation"),OR(H573="Yes",H573="No"),I573&lt;&gt;"",OR(F573&lt;&gt;"Supported",E573&lt;&gt;""),OR(G573&lt;&gt;"Supported",AND(F573="Supported",D573&lt;&gt;"",E573&lt;&gt;""))),"Yes","No"))</f>
        <v/>
      </c>
    </row>
    <row r="574" spans="11:11">
      <c r="K574" s="11">
        <f>IF(OR(A574="",C574=""),"",IF(AND(COUNTIF(Responses!$A$6:$A$205,A574)=1,B574&lt;&gt;"",COUNTIFS($A$6:$A$2005,A574,$B$6:$B$2005,B574)=1,OR(F574="Supported",F574="Unsupported",F574="Contradicted"),OR(G574="Supported",G574="Wrong citation",G574="Missing citation"),OR(H574="Yes",H574="No"),I574&lt;&gt;"",OR(F574&lt;&gt;"Supported",E574&lt;&gt;""),OR(G574&lt;&gt;"Supported",AND(F574="Supported",D574&lt;&gt;"",E574&lt;&gt;""))),"Yes","No"))</f>
        <v/>
      </c>
    </row>
    <row r="575" spans="11:11">
      <c r="K575" s="11">
        <f>IF(OR(A575="",C575=""),"",IF(AND(COUNTIF(Responses!$A$6:$A$205,A575)=1,B575&lt;&gt;"",COUNTIFS($A$6:$A$2005,A575,$B$6:$B$2005,B575)=1,OR(F575="Supported",F575="Unsupported",F575="Contradicted"),OR(G575="Supported",G575="Wrong citation",G575="Missing citation"),OR(H575="Yes",H575="No"),I575&lt;&gt;"",OR(F575&lt;&gt;"Supported",E575&lt;&gt;""),OR(G575&lt;&gt;"Supported",AND(F575="Supported",D575&lt;&gt;"",E575&lt;&gt;""))),"Yes","No"))</f>
        <v/>
      </c>
    </row>
    <row r="576" spans="11:11">
      <c r="K576" s="11">
        <f>IF(OR(A576="",C576=""),"",IF(AND(COUNTIF(Responses!$A$6:$A$205,A576)=1,B576&lt;&gt;"",COUNTIFS($A$6:$A$2005,A576,$B$6:$B$2005,B576)=1,OR(F576="Supported",F576="Unsupported",F576="Contradicted"),OR(G576="Supported",G576="Wrong citation",G576="Missing citation"),OR(H576="Yes",H576="No"),I576&lt;&gt;"",OR(F576&lt;&gt;"Supported",E576&lt;&gt;""),OR(G576&lt;&gt;"Supported",AND(F576="Supported",D576&lt;&gt;"",E576&lt;&gt;""))),"Yes","No"))</f>
        <v/>
      </c>
    </row>
    <row r="577" spans="11:11">
      <c r="K577" s="11">
        <f>IF(OR(A577="",C577=""),"",IF(AND(COUNTIF(Responses!$A$6:$A$205,A577)=1,B577&lt;&gt;"",COUNTIFS($A$6:$A$2005,A577,$B$6:$B$2005,B577)=1,OR(F577="Supported",F577="Unsupported",F577="Contradicted"),OR(G577="Supported",G577="Wrong citation",G577="Missing citation"),OR(H577="Yes",H577="No"),I577&lt;&gt;"",OR(F577&lt;&gt;"Supported",E577&lt;&gt;""),OR(G577&lt;&gt;"Supported",AND(F577="Supported",D577&lt;&gt;"",E577&lt;&gt;""))),"Yes","No"))</f>
        <v/>
      </c>
    </row>
    <row r="578" spans="11:11">
      <c r="K578" s="11">
        <f>IF(OR(A578="",C578=""),"",IF(AND(COUNTIF(Responses!$A$6:$A$205,A578)=1,B578&lt;&gt;"",COUNTIFS($A$6:$A$2005,A578,$B$6:$B$2005,B578)=1,OR(F578="Supported",F578="Unsupported",F578="Contradicted"),OR(G578="Supported",G578="Wrong citation",G578="Missing citation"),OR(H578="Yes",H578="No"),I578&lt;&gt;"",OR(F578&lt;&gt;"Supported",E578&lt;&gt;""),OR(G578&lt;&gt;"Supported",AND(F578="Supported",D578&lt;&gt;"",E578&lt;&gt;""))),"Yes","No"))</f>
        <v/>
      </c>
    </row>
    <row r="579" spans="11:11">
      <c r="K579" s="11">
        <f>IF(OR(A579="",C579=""),"",IF(AND(COUNTIF(Responses!$A$6:$A$205,A579)=1,B579&lt;&gt;"",COUNTIFS($A$6:$A$2005,A579,$B$6:$B$2005,B579)=1,OR(F579="Supported",F579="Unsupported",F579="Contradicted"),OR(G579="Supported",G579="Wrong citation",G579="Missing citation"),OR(H579="Yes",H579="No"),I579&lt;&gt;"",OR(F579&lt;&gt;"Supported",E579&lt;&gt;""),OR(G579&lt;&gt;"Supported",AND(F579="Supported",D579&lt;&gt;"",E579&lt;&gt;""))),"Yes","No"))</f>
        <v/>
      </c>
    </row>
    <row r="580" spans="11:11">
      <c r="K580" s="11">
        <f>IF(OR(A580="",C580=""),"",IF(AND(COUNTIF(Responses!$A$6:$A$205,A580)=1,B580&lt;&gt;"",COUNTIFS($A$6:$A$2005,A580,$B$6:$B$2005,B580)=1,OR(F580="Supported",F580="Unsupported",F580="Contradicted"),OR(G580="Supported",G580="Wrong citation",G580="Missing citation"),OR(H580="Yes",H580="No"),I580&lt;&gt;"",OR(F580&lt;&gt;"Supported",E580&lt;&gt;""),OR(G580&lt;&gt;"Supported",AND(F580="Supported",D580&lt;&gt;"",E580&lt;&gt;""))),"Yes","No"))</f>
        <v/>
      </c>
    </row>
    <row r="581" spans="11:11">
      <c r="K581" s="11">
        <f>IF(OR(A581="",C581=""),"",IF(AND(COUNTIF(Responses!$A$6:$A$205,A581)=1,B581&lt;&gt;"",COUNTIFS($A$6:$A$2005,A581,$B$6:$B$2005,B581)=1,OR(F581="Supported",F581="Unsupported",F581="Contradicted"),OR(G581="Supported",G581="Wrong citation",G581="Missing citation"),OR(H581="Yes",H581="No"),I581&lt;&gt;"",OR(F581&lt;&gt;"Supported",E581&lt;&gt;""),OR(G581&lt;&gt;"Supported",AND(F581="Supported",D581&lt;&gt;"",E581&lt;&gt;""))),"Yes","No"))</f>
        <v/>
      </c>
    </row>
    <row r="582" spans="11:11">
      <c r="K582" s="11">
        <f>IF(OR(A582="",C582=""),"",IF(AND(COUNTIF(Responses!$A$6:$A$205,A582)=1,B582&lt;&gt;"",COUNTIFS($A$6:$A$2005,A582,$B$6:$B$2005,B582)=1,OR(F582="Supported",F582="Unsupported",F582="Contradicted"),OR(G582="Supported",G582="Wrong citation",G582="Missing citation"),OR(H582="Yes",H582="No"),I582&lt;&gt;"",OR(F582&lt;&gt;"Supported",E582&lt;&gt;""),OR(G582&lt;&gt;"Supported",AND(F582="Supported",D582&lt;&gt;"",E582&lt;&gt;""))),"Yes","No"))</f>
        <v/>
      </c>
    </row>
    <row r="583" spans="11:11">
      <c r="K583" s="11">
        <f>IF(OR(A583="",C583=""),"",IF(AND(COUNTIF(Responses!$A$6:$A$205,A583)=1,B583&lt;&gt;"",COUNTIFS($A$6:$A$2005,A583,$B$6:$B$2005,B583)=1,OR(F583="Supported",F583="Unsupported",F583="Contradicted"),OR(G583="Supported",G583="Wrong citation",G583="Missing citation"),OR(H583="Yes",H583="No"),I583&lt;&gt;"",OR(F583&lt;&gt;"Supported",E583&lt;&gt;""),OR(G583&lt;&gt;"Supported",AND(F583="Supported",D583&lt;&gt;"",E583&lt;&gt;""))),"Yes","No"))</f>
        <v/>
      </c>
    </row>
    <row r="584" spans="11:11">
      <c r="K584" s="11">
        <f>IF(OR(A584="",C584=""),"",IF(AND(COUNTIF(Responses!$A$6:$A$205,A584)=1,B584&lt;&gt;"",COUNTIFS($A$6:$A$2005,A584,$B$6:$B$2005,B584)=1,OR(F584="Supported",F584="Unsupported",F584="Contradicted"),OR(G584="Supported",G584="Wrong citation",G584="Missing citation"),OR(H584="Yes",H584="No"),I584&lt;&gt;"",OR(F584&lt;&gt;"Supported",E584&lt;&gt;""),OR(G584&lt;&gt;"Supported",AND(F584="Supported",D584&lt;&gt;"",E584&lt;&gt;""))),"Yes","No"))</f>
        <v/>
      </c>
    </row>
    <row r="585" spans="11:11">
      <c r="K585" s="11">
        <f>IF(OR(A585="",C585=""),"",IF(AND(COUNTIF(Responses!$A$6:$A$205,A585)=1,B585&lt;&gt;"",COUNTIFS($A$6:$A$2005,A585,$B$6:$B$2005,B585)=1,OR(F585="Supported",F585="Unsupported",F585="Contradicted"),OR(G585="Supported",G585="Wrong citation",G585="Missing citation"),OR(H585="Yes",H585="No"),I585&lt;&gt;"",OR(F585&lt;&gt;"Supported",E585&lt;&gt;""),OR(G585&lt;&gt;"Supported",AND(F585="Supported",D585&lt;&gt;"",E585&lt;&gt;""))),"Yes","No"))</f>
        <v/>
      </c>
    </row>
    <row r="586" spans="11:11">
      <c r="K586" s="11">
        <f>IF(OR(A586="",C586=""),"",IF(AND(COUNTIF(Responses!$A$6:$A$205,A586)=1,B586&lt;&gt;"",COUNTIFS($A$6:$A$2005,A586,$B$6:$B$2005,B586)=1,OR(F586="Supported",F586="Unsupported",F586="Contradicted"),OR(G586="Supported",G586="Wrong citation",G586="Missing citation"),OR(H586="Yes",H586="No"),I586&lt;&gt;"",OR(F586&lt;&gt;"Supported",E586&lt;&gt;""),OR(G586&lt;&gt;"Supported",AND(F586="Supported",D586&lt;&gt;"",E586&lt;&gt;""))),"Yes","No"))</f>
        <v/>
      </c>
    </row>
    <row r="587" spans="11:11">
      <c r="K587" s="11">
        <f>IF(OR(A587="",C587=""),"",IF(AND(COUNTIF(Responses!$A$6:$A$205,A587)=1,B587&lt;&gt;"",COUNTIFS($A$6:$A$2005,A587,$B$6:$B$2005,B587)=1,OR(F587="Supported",F587="Unsupported",F587="Contradicted"),OR(G587="Supported",G587="Wrong citation",G587="Missing citation"),OR(H587="Yes",H587="No"),I587&lt;&gt;"",OR(F587&lt;&gt;"Supported",E587&lt;&gt;""),OR(G587&lt;&gt;"Supported",AND(F587="Supported",D587&lt;&gt;"",E587&lt;&gt;""))),"Yes","No"))</f>
        <v/>
      </c>
    </row>
    <row r="588" spans="11:11">
      <c r="K588" s="11">
        <f>IF(OR(A588="",C588=""),"",IF(AND(COUNTIF(Responses!$A$6:$A$205,A588)=1,B588&lt;&gt;"",COUNTIFS($A$6:$A$2005,A588,$B$6:$B$2005,B588)=1,OR(F588="Supported",F588="Unsupported",F588="Contradicted"),OR(G588="Supported",G588="Wrong citation",G588="Missing citation"),OR(H588="Yes",H588="No"),I588&lt;&gt;"",OR(F588&lt;&gt;"Supported",E588&lt;&gt;""),OR(G588&lt;&gt;"Supported",AND(F588="Supported",D588&lt;&gt;"",E588&lt;&gt;""))),"Yes","No"))</f>
        <v/>
      </c>
    </row>
    <row r="589" spans="11:11">
      <c r="K589" s="11">
        <f>IF(OR(A589="",C589=""),"",IF(AND(COUNTIF(Responses!$A$6:$A$205,A589)=1,B589&lt;&gt;"",COUNTIFS($A$6:$A$2005,A589,$B$6:$B$2005,B589)=1,OR(F589="Supported",F589="Unsupported",F589="Contradicted"),OR(G589="Supported",G589="Wrong citation",G589="Missing citation"),OR(H589="Yes",H589="No"),I589&lt;&gt;"",OR(F589&lt;&gt;"Supported",E589&lt;&gt;""),OR(G589&lt;&gt;"Supported",AND(F589="Supported",D589&lt;&gt;"",E589&lt;&gt;""))),"Yes","No"))</f>
        <v/>
      </c>
    </row>
    <row r="590" spans="11:11">
      <c r="K590" s="11">
        <f>IF(OR(A590="",C590=""),"",IF(AND(COUNTIF(Responses!$A$6:$A$205,A590)=1,B590&lt;&gt;"",COUNTIFS($A$6:$A$2005,A590,$B$6:$B$2005,B590)=1,OR(F590="Supported",F590="Unsupported",F590="Contradicted"),OR(G590="Supported",G590="Wrong citation",G590="Missing citation"),OR(H590="Yes",H590="No"),I590&lt;&gt;"",OR(F590&lt;&gt;"Supported",E590&lt;&gt;""),OR(G590&lt;&gt;"Supported",AND(F590="Supported",D590&lt;&gt;"",E590&lt;&gt;""))),"Yes","No"))</f>
        <v/>
      </c>
    </row>
    <row r="591" spans="11:11">
      <c r="K591" s="11">
        <f>IF(OR(A591="",C591=""),"",IF(AND(COUNTIF(Responses!$A$6:$A$205,A591)=1,B591&lt;&gt;"",COUNTIFS($A$6:$A$2005,A591,$B$6:$B$2005,B591)=1,OR(F591="Supported",F591="Unsupported",F591="Contradicted"),OR(G591="Supported",G591="Wrong citation",G591="Missing citation"),OR(H591="Yes",H591="No"),I591&lt;&gt;"",OR(F591&lt;&gt;"Supported",E591&lt;&gt;""),OR(G591&lt;&gt;"Supported",AND(F591="Supported",D591&lt;&gt;"",E591&lt;&gt;""))),"Yes","No"))</f>
        <v/>
      </c>
    </row>
    <row r="592" spans="11:11">
      <c r="K592" s="11">
        <f>IF(OR(A592="",C592=""),"",IF(AND(COUNTIF(Responses!$A$6:$A$205,A592)=1,B592&lt;&gt;"",COUNTIFS($A$6:$A$2005,A592,$B$6:$B$2005,B592)=1,OR(F592="Supported",F592="Unsupported",F592="Contradicted"),OR(G592="Supported",G592="Wrong citation",G592="Missing citation"),OR(H592="Yes",H592="No"),I592&lt;&gt;"",OR(F592&lt;&gt;"Supported",E592&lt;&gt;""),OR(G592&lt;&gt;"Supported",AND(F592="Supported",D592&lt;&gt;"",E592&lt;&gt;""))),"Yes","No"))</f>
        <v/>
      </c>
    </row>
    <row r="593" spans="11:11">
      <c r="K593" s="11">
        <f>IF(OR(A593="",C593=""),"",IF(AND(COUNTIF(Responses!$A$6:$A$205,A593)=1,B593&lt;&gt;"",COUNTIFS($A$6:$A$2005,A593,$B$6:$B$2005,B593)=1,OR(F593="Supported",F593="Unsupported",F593="Contradicted"),OR(G593="Supported",G593="Wrong citation",G593="Missing citation"),OR(H593="Yes",H593="No"),I593&lt;&gt;"",OR(F593&lt;&gt;"Supported",E593&lt;&gt;""),OR(G593&lt;&gt;"Supported",AND(F593="Supported",D593&lt;&gt;"",E593&lt;&gt;""))),"Yes","No"))</f>
        <v/>
      </c>
    </row>
    <row r="594" spans="11:11">
      <c r="K594" s="11">
        <f>IF(OR(A594="",C594=""),"",IF(AND(COUNTIF(Responses!$A$6:$A$205,A594)=1,B594&lt;&gt;"",COUNTIFS($A$6:$A$2005,A594,$B$6:$B$2005,B594)=1,OR(F594="Supported",F594="Unsupported",F594="Contradicted"),OR(G594="Supported",G594="Wrong citation",G594="Missing citation"),OR(H594="Yes",H594="No"),I594&lt;&gt;"",OR(F594&lt;&gt;"Supported",E594&lt;&gt;""),OR(G594&lt;&gt;"Supported",AND(F594="Supported",D594&lt;&gt;"",E594&lt;&gt;""))),"Yes","No"))</f>
        <v/>
      </c>
    </row>
    <row r="595" spans="11:11">
      <c r="K595" s="11">
        <f>IF(OR(A595="",C595=""),"",IF(AND(COUNTIF(Responses!$A$6:$A$205,A595)=1,B595&lt;&gt;"",COUNTIFS($A$6:$A$2005,A595,$B$6:$B$2005,B595)=1,OR(F595="Supported",F595="Unsupported",F595="Contradicted"),OR(G595="Supported",G595="Wrong citation",G595="Missing citation"),OR(H595="Yes",H595="No"),I595&lt;&gt;"",OR(F595&lt;&gt;"Supported",E595&lt;&gt;""),OR(G595&lt;&gt;"Supported",AND(F595="Supported",D595&lt;&gt;"",E595&lt;&gt;""))),"Yes","No"))</f>
        <v/>
      </c>
    </row>
    <row r="596" spans="11:11">
      <c r="K596" s="11">
        <f>IF(OR(A596="",C596=""),"",IF(AND(COUNTIF(Responses!$A$6:$A$205,A596)=1,B596&lt;&gt;"",COUNTIFS($A$6:$A$2005,A596,$B$6:$B$2005,B596)=1,OR(F596="Supported",F596="Unsupported",F596="Contradicted"),OR(G596="Supported",G596="Wrong citation",G596="Missing citation"),OR(H596="Yes",H596="No"),I596&lt;&gt;"",OR(F596&lt;&gt;"Supported",E596&lt;&gt;""),OR(G596&lt;&gt;"Supported",AND(F596="Supported",D596&lt;&gt;"",E596&lt;&gt;""))),"Yes","No"))</f>
        <v/>
      </c>
    </row>
    <row r="597" spans="11:11">
      <c r="K597" s="11">
        <f>IF(OR(A597="",C597=""),"",IF(AND(COUNTIF(Responses!$A$6:$A$205,A597)=1,B597&lt;&gt;"",COUNTIFS($A$6:$A$2005,A597,$B$6:$B$2005,B597)=1,OR(F597="Supported",F597="Unsupported",F597="Contradicted"),OR(G597="Supported",G597="Wrong citation",G597="Missing citation"),OR(H597="Yes",H597="No"),I597&lt;&gt;"",OR(F597&lt;&gt;"Supported",E597&lt;&gt;""),OR(G597&lt;&gt;"Supported",AND(F597="Supported",D597&lt;&gt;"",E597&lt;&gt;""))),"Yes","No"))</f>
        <v/>
      </c>
    </row>
    <row r="598" spans="11:11">
      <c r="K598" s="11">
        <f>IF(OR(A598="",C598=""),"",IF(AND(COUNTIF(Responses!$A$6:$A$205,A598)=1,B598&lt;&gt;"",COUNTIFS($A$6:$A$2005,A598,$B$6:$B$2005,B598)=1,OR(F598="Supported",F598="Unsupported",F598="Contradicted"),OR(G598="Supported",G598="Wrong citation",G598="Missing citation"),OR(H598="Yes",H598="No"),I598&lt;&gt;"",OR(F598&lt;&gt;"Supported",E598&lt;&gt;""),OR(G598&lt;&gt;"Supported",AND(F598="Supported",D598&lt;&gt;"",E598&lt;&gt;""))),"Yes","No"))</f>
        <v/>
      </c>
    </row>
    <row r="599" spans="11:11">
      <c r="K599" s="11">
        <f>IF(OR(A599="",C599=""),"",IF(AND(COUNTIF(Responses!$A$6:$A$205,A599)=1,B599&lt;&gt;"",COUNTIFS($A$6:$A$2005,A599,$B$6:$B$2005,B599)=1,OR(F599="Supported",F599="Unsupported",F599="Contradicted"),OR(G599="Supported",G599="Wrong citation",G599="Missing citation"),OR(H599="Yes",H599="No"),I599&lt;&gt;"",OR(F599&lt;&gt;"Supported",E599&lt;&gt;""),OR(G599&lt;&gt;"Supported",AND(F599="Supported",D599&lt;&gt;"",E599&lt;&gt;""))),"Yes","No"))</f>
        <v/>
      </c>
    </row>
    <row r="600" spans="11:11">
      <c r="K600" s="11">
        <f>IF(OR(A600="",C600=""),"",IF(AND(COUNTIF(Responses!$A$6:$A$205,A600)=1,B600&lt;&gt;"",COUNTIFS($A$6:$A$2005,A600,$B$6:$B$2005,B600)=1,OR(F600="Supported",F600="Unsupported",F600="Contradicted"),OR(G600="Supported",G600="Wrong citation",G600="Missing citation"),OR(H600="Yes",H600="No"),I600&lt;&gt;"",OR(F600&lt;&gt;"Supported",E600&lt;&gt;""),OR(G600&lt;&gt;"Supported",AND(F600="Supported",D600&lt;&gt;"",E600&lt;&gt;""))),"Yes","No"))</f>
        <v/>
      </c>
    </row>
    <row r="601" spans="11:11">
      <c r="K601" s="11">
        <f>IF(OR(A601="",C601=""),"",IF(AND(COUNTIF(Responses!$A$6:$A$205,A601)=1,B601&lt;&gt;"",COUNTIFS($A$6:$A$2005,A601,$B$6:$B$2005,B601)=1,OR(F601="Supported",F601="Unsupported",F601="Contradicted"),OR(G601="Supported",G601="Wrong citation",G601="Missing citation"),OR(H601="Yes",H601="No"),I601&lt;&gt;"",OR(F601&lt;&gt;"Supported",E601&lt;&gt;""),OR(G601&lt;&gt;"Supported",AND(F601="Supported",D601&lt;&gt;"",E601&lt;&gt;""))),"Yes","No"))</f>
        <v/>
      </c>
    </row>
    <row r="602" spans="11:11">
      <c r="K602" s="11">
        <f>IF(OR(A602="",C602=""),"",IF(AND(COUNTIF(Responses!$A$6:$A$205,A602)=1,B602&lt;&gt;"",COUNTIFS($A$6:$A$2005,A602,$B$6:$B$2005,B602)=1,OR(F602="Supported",F602="Unsupported",F602="Contradicted"),OR(G602="Supported",G602="Wrong citation",G602="Missing citation"),OR(H602="Yes",H602="No"),I602&lt;&gt;"",OR(F602&lt;&gt;"Supported",E602&lt;&gt;""),OR(G602&lt;&gt;"Supported",AND(F602="Supported",D602&lt;&gt;"",E602&lt;&gt;""))),"Yes","No"))</f>
        <v/>
      </c>
    </row>
    <row r="603" spans="11:11">
      <c r="K603" s="11">
        <f>IF(OR(A603="",C603=""),"",IF(AND(COUNTIF(Responses!$A$6:$A$205,A603)=1,B603&lt;&gt;"",COUNTIFS($A$6:$A$2005,A603,$B$6:$B$2005,B603)=1,OR(F603="Supported",F603="Unsupported",F603="Contradicted"),OR(G603="Supported",G603="Wrong citation",G603="Missing citation"),OR(H603="Yes",H603="No"),I603&lt;&gt;"",OR(F603&lt;&gt;"Supported",E603&lt;&gt;""),OR(G603&lt;&gt;"Supported",AND(F603="Supported",D603&lt;&gt;"",E603&lt;&gt;""))),"Yes","No"))</f>
        <v/>
      </c>
    </row>
    <row r="604" spans="11:11">
      <c r="K604" s="11">
        <f>IF(OR(A604="",C604=""),"",IF(AND(COUNTIF(Responses!$A$6:$A$205,A604)=1,B604&lt;&gt;"",COUNTIFS($A$6:$A$2005,A604,$B$6:$B$2005,B604)=1,OR(F604="Supported",F604="Unsupported",F604="Contradicted"),OR(G604="Supported",G604="Wrong citation",G604="Missing citation"),OR(H604="Yes",H604="No"),I604&lt;&gt;"",OR(F604&lt;&gt;"Supported",E604&lt;&gt;""),OR(G604&lt;&gt;"Supported",AND(F604="Supported",D604&lt;&gt;"",E604&lt;&gt;""))),"Yes","No"))</f>
        <v/>
      </c>
    </row>
    <row r="605" spans="11:11">
      <c r="K605" s="11">
        <f>IF(OR(A605="",C605=""),"",IF(AND(COUNTIF(Responses!$A$6:$A$205,A605)=1,B605&lt;&gt;"",COUNTIFS($A$6:$A$2005,A605,$B$6:$B$2005,B605)=1,OR(F605="Supported",F605="Unsupported",F605="Contradicted"),OR(G605="Supported",G605="Wrong citation",G605="Missing citation"),OR(H605="Yes",H605="No"),I605&lt;&gt;"",OR(F605&lt;&gt;"Supported",E605&lt;&gt;""),OR(G605&lt;&gt;"Supported",AND(F605="Supported",D605&lt;&gt;"",E605&lt;&gt;""))),"Yes","No"))</f>
        <v/>
      </c>
    </row>
    <row r="606" spans="11:11">
      <c r="K606" s="11">
        <f>IF(OR(A606="",C606=""),"",IF(AND(COUNTIF(Responses!$A$6:$A$205,A606)=1,B606&lt;&gt;"",COUNTIFS($A$6:$A$2005,A606,$B$6:$B$2005,B606)=1,OR(F606="Supported",F606="Unsupported",F606="Contradicted"),OR(G606="Supported",G606="Wrong citation",G606="Missing citation"),OR(H606="Yes",H606="No"),I606&lt;&gt;"",OR(F606&lt;&gt;"Supported",E606&lt;&gt;""),OR(G606&lt;&gt;"Supported",AND(F606="Supported",D606&lt;&gt;"",E606&lt;&gt;""))),"Yes","No"))</f>
        <v/>
      </c>
    </row>
    <row r="607" spans="11:11">
      <c r="K607" s="11">
        <f>IF(OR(A607="",C607=""),"",IF(AND(COUNTIF(Responses!$A$6:$A$205,A607)=1,B607&lt;&gt;"",COUNTIFS($A$6:$A$2005,A607,$B$6:$B$2005,B607)=1,OR(F607="Supported",F607="Unsupported",F607="Contradicted"),OR(G607="Supported",G607="Wrong citation",G607="Missing citation"),OR(H607="Yes",H607="No"),I607&lt;&gt;"",OR(F607&lt;&gt;"Supported",E607&lt;&gt;""),OR(G607&lt;&gt;"Supported",AND(F607="Supported",D607&lt;&gt;"",E607&lt;&gt;""))),"Yes","No"))</f>
        <v/>
      </c>
    </row>
    <row r="608" spans="11:11">
      <c r="K608" s="11">
        <f>IF(OR(A608="",C608=""),"",IF(AND(COUNTIF(Responses!$A$6:$A$205,A608)=1,B608&lt;&gt;"",COUNTIFS($A$6:$A$2005,A608,$B$6:$B$2005,B608)=1,OR(F608="Supported",F608="Unsupported",F608="Contradicted"),OR(G608="Supported",G608="Wrong citation",G608="Missing citation"),OR(H608="Yes",H608="No"),I608&lt;&gt;"",OR(F608&lt;&gt;"Supported",E608&lt;&gt;""),OR(G608&lt;&gt;"Supported",AND(F608="Supported",D608&lt;&gt;"",E608&lt;&gt;""))),"Yes","No"))</f>
        <v/>
      </c>
    </row>
    <row r="609" spans="11:11">
      <c r="K609" s="11">
        <f>IF(OR(A609="",C609=""),"",IF(AND(COUNTIF(Responses!$A$6:$A$205,A609)=1,B609&lt;&gt;"",COUNTIFS($A$6:$A$2005,A609,$B$6:$B$2005,B609)=1,OR(F609="Supported",F609="Unsupported",F609="Contradicted"),OR(G609="Supported",G609="Wrong citation",G609="Missing citation"),OR(H609="Yes",H609="No"),I609&lt;&gt;"",OR(F609&lt;&gt;"Supported",E609&lt;&gt;""),OR(G609&lt;&gt;"Supported",AND(F609="Supported",D609&lt;&gt;"",E609&lt;&gt;""))),"Yes","No"))</f>
        <v/>
      </c>
    </row>
    <row r="610" spans="11:11">
      <c r="K610" s="11">
        <f>IF(OR(A610="",C610=""),"",IF(AND(COUNTIF(Responses!$A$6:$A$205,A610)=1,B610&lt;&gt;"",COUNTIFS($A$6:$A$2005,A610,$B$6:$B$2005,B610)=1,OR(F610="Supported",F610="Unsupported",F610="Contradicted"),OR(G610="Supported",G610="Wrong citation",G610="Missing citation"),OR(H610="Yes",H610="No"),I610&lt;&gt;"",OR(F610&lt;&gt;"Supported",E610&lt;&gt;""),OR(G610&lt;&gt;"Supported",AND(F610="Supported",D610&lt;&gt;"",E610&lt;&gt;""))),"Yes","No"))</f>
        <v/>
      </c>
    </row>
    <row r="611" spans="11:11">
      <c r="K611" s="11">
        <f>IF(OR(A611="",C611=""),"",IF(AND(COUNTIF(Responses!$A$6:$A$205,A611)=1,B611&lt;&gt;"",COUNTIFS($A$6:$A$2005,A611,$B$6:$B$2005,B611)=1,OR(F611="Supported",F611="Unsupported",F611="Contradicted"),OR(G611="Supported",G611="Wrong citation",G611="Missing citation"),OR(H611="Yes",H611="No"),I611&lt;&gt;"",OR(F611&lt;&gt;"Supported",E611&lt;&gt;""),OR(G611&lt;&gt;"Supported",AND(F611="Supported",D611&lt;&gt;"",E611&lt;&gt;""))),"Yes","No"))</f>
        <v/>
      </c>
    </row>
    <row r="612" spans="11:11">
      <c r="K612" s="11">
        <f>IF(OR(A612="",C612=""),"",IF(AND(COUNTIF(Responses!$A$6:$A$205,A612)=1,B612&lt;&gt;"",COUNTIFS($A$6:$A$2005,A612,$B$6:$B$2005,B612)=1,OR(F612="Supported",F612="Unsupported",F612="Contradicted"),OR(G612="Supported",G612="Wrong citation",G612="Missing citation"),OR(H612="Yes",H612="No"),I612&lt;&gt;"",OR(F612&lt;&gt;"Supported",E612&lt;&gt;""),OR(G612&lt;&gt;"Supported",AND(F612="Supported",D612&lt;&gt;"",E612&lt;&gt;""))),"Yes","No"))</f>
        <v/>
      </c>
    </row>
    <row r="613" spans="11:11">
      <c r="K613" s="11">
        <f>IF(OR(A613="",C613=""),"",IF(AND(COUNTIF(Responses!$A$6:$A$205,A613)=1,B613&lt;&gt;"",COUNTIFS($A$6:$A$2005,A613,$B$6:$B$2005,B613)=1,OR(F613="Supported",F613="Unsupported",F613="Contradicted"),OR(G613="Supported",G613="Wrong citation",G613="Missing citation"),OR(H613="Yes",H613="No"),I613&lt;&gt;"",OR(F613&lt;&gt;"Supported",E613&lt;&gt;""),OR(G613&lt;&gt;"Supported",AND(F613="Supported",D613&lt;&gt;"",E613&lt;&gt;""))),"Yes","No"))</f>
        <v/>
      </c>
    </row>
    <row r="614" spans="11:11">
      <c r="K614" s="11">
        <f>IF(OR(A614="",C614=""),"",IF(AND(COUNTIF(Responses!$A$6:$A$205,A614)=1,B614&lt;&gt;"",COUNTIFS($A$6:$A$2005,A614,$B$6:$B$2005,B614)=1,OR(F614="Supported",F614="Unsupported",F614="Contradicted"),OR(G614="Supported",G614="Wrong citation",G614="Missing citation"),OR(H614="Yes",H614="No"),I614&lt;&gt;"",OR(F614&lt;&gt;"Supported",E614&lt;&gt;""),OR(G614&lt;&gt;"Supported",AND(F614="Supported",D614&lt;&gt;"",E614&lt;&gt;""))),"Yes","No"))</f>
        <v/>
      </c>
    </row>
    <row r="615" spans="11:11">
      <c r="K615" s="11">
        <f>IF(OR(A615="",C615=""),"",IF(AND(COUNTIF(Responses!$A$6:$A$205,A615)=1,B615&lt;&gt;"",COUNTIFS($A$6:$A$2005,A615,$B$6:$B$2005,B615)=1,OR(F615="Supported",F615="Unsupported",F615="Contradicted"),OR(G615="Supported",G615="Wrong citation",G615="Missing citation"),OR(H615="Yes",H615="No"),I615&lt;&gt;"",OR(F615&lt;&gt;"Supported",E615&lt;&gt;""),OR(G615&lt;&gt;"Supported",AND(F615="Supported",D615&lt;&gt;"",E615&lt;&gt;""))),"Yes","No"))</f>
        <v/>
      </c>
    </row>
    <row r="616" spans="11:11">
      <c r="K616" s="11">
        <f>IF(OR(A616="",C616=""),"",IF(AND(COUNTIF(Responses!$A$6:$A$205,A616)=1,B616&lt;&gt;"",COUNTIFS($A$6:$A$2005,A616,$B$6:$B$2005,B616)=1,OR(F616="Supported",F616="Unsupported",F616="Contradicted"),OR(G616="Supported",G616="Wrong citation",G616="Missing citation"),OR(H616="Yes",H616="No"),I616&lt;&gt;"",OR(F616&lt;&gt;"Supported",E616&lt;&gt;""),OR(G616&lt;&gt;"Supported",AND(F616="Supported",D616&lt;&gt;"",E616&lt;&gt;""))),"Yes","No"))</f>
        <v/>
      </c>
    </row>
    <row r="617" spans="11:11">
      <c r="K617" s="11">
        <f>IF(OR(A617="",C617=""),"",IF(AND(COUNTIF(Responses!$A$6:$A$205,A617)=1,B617&lt;&gt;"",COUNTIFS($A$6:$A$2005,A617,$B$6:$B$2005,B617)=1,OR(F617="Supported",F617="Unsupported",F617="Contradicted"),OR(G617="Supported",G617="Wrong citation",G617="Missing citation"),OR(H617="Yes",H617="No"),I617&lt;&gt;"",OR(F617&lt;&gt;"Supported",E617&lt;&gt;""),OR(G617&lt;&gt;"Supported",AND(F617="Supported",D617&lt;&gt;"",E617&lt;&gt;""))),"Yes","No"))</f>
        <v/>
      </c>
    </row>
    <row r="618" spans="11:11">
      <c r="K618" s="11">
        <f>IF(OR(A618="",C618=""),"",IF(AND(COUNTIF(Responses!$A$6:$A$205,A618)=1,B618&lt;&gt;"",COUNTIFS($A$6:$A$2005,A618,$B$6:$B$2005,B618)=1,OR(F618="Supported",F618="Unsupported",F618="Contradicted"),OR(G618="Supported",G618="Wrong citation",G618="Missing citation"),OR(H618="Yes",H618="No"),I618&lt;&gt;"",OR(F618&lt;&gt;"Supported",E618&lt;&gt;""),OR(G618&lt;&gt;"Supported",AND(F618="Supported",D618&lt;&gt;"",E618&lt;&gt;""))),"Yes","No"))</f>
        <v/>
      </c>
    </row>
    <row r="619" spans="11:11">
      <c r="K619" s="11">
        <f>IF(OR(A619="",C619=""),"",IF(AND(COUNTIF(Responses!$A$6:$A$205,A619)=1,B619&lt;&gt;"",COUNTIFS($A$6:$A$2005,A619,$B$6:$B$2005,B619)=1,OR(F619="Supported",F619="Unsupported",F619="Contradicted"),OR(G619="Supported",G619="Wrong citation",G619="Missing citation"),OR(H619="Yes",H619="No"),I619&lt;&gt;"",OR(F619&lt;&gt;"Supported",E619&lt;&gt;""),OR(G619&lt;&gt;"Supported",AND(F619="Supported",D619&lt;&gt;"",E619&lt;&gt;""))),"Yes","No"))</f>
        <v/>
      </c>
    </row>
    <row r="620" spans="11:11">
      <c r="K620" s="11">
        <f>IF(OR(A620="",C620=""),"",IF(AND(COUNTIF(Responses!$A$6:$A$205,A620)=1,B620&lt;&gt;"",COUNTIFS($A$6:$A$2005,A620,$B$6:$B$2005,B620)=1,OR(F620="Supported",F620="Unsupported",F620="Contradicted"),OR(G620="Supported",G620="Wrong citation",G620="Missing citation"),OR(H620="Yes",H620="No"),I620&lt;&gt;"",OR(F620&lt;&gt;"Supported",E620&lt;&gt;""),OR(G620&lt;&gt;"Supported",AND(F620="Supported",D620&lt;&gt;"",E620&lt;&gt;""))),"Yes","No"))</f>
        <v/>
      </c>
    </row>
    <row r="621" spans="11:11">
      <c r="K621" s="11">
        <f>IF(OR(A621="",C621=""),"",IF(AND(COUNTIF(Responses!$A$6:$A$205,A621)=1,B621&lt;&gt;"",COUNTIFS($A$6:$A$2005,A621,$B$6:$B$2005,B621)=1,OR(F621="Supported",F621="Unsupported",F621="Contradicted"),OR(G621="Supported",G621="Wrong citation",G621="Missing citation"),OR(H621="Yes",H621="No"),I621&lt;&gt;"",OR(F621&lt;&gt;"Supported",E621&lt;&gt;""),OR(G621&lt;&gt;"Supported",AND(F621="Supported",D621&lt;&gt;"",E621&lt;&gt;""))),"Yes","No"))</f>
        <v/>
      </c>
    </row>
    <row r="622" spans="11:11">
      <c r="K622" s="11">
        <f>IF(OR(A622="",C622=""),"",IF(AND(COUNTIF(Responses!$A$6:$A$205,A622)=1,B622&lt;&gt;"",COUNTIFS($A$6:$A$2005,A622,$B$6:$B$2005,B622)=1,OR(F622="Supported",F622="Unsupported",F622="Contradicted"),OR(G622="Supported",G622="Wrong citation",G622="Missing citation"),OR(H622="Yes",H622="No"),I622&lt;&gt;"",OR(F622&lt;&gt;"Supported",E622&lt;&gt;""),OR(G622&lt;&gt;"Supported",AND(F622="Supported",D622&lt;&gt;"",E622&lt;&gt;""))),"Yes","No"))</f>
        <v/>
      </c>
    </row>
    <row r="623" spans="11:11">
      <c r="K623" s="11">
        <f>IF(OR(A623="",C623=""),"",IF(AND(COUNTIF(Responses!$A$6:$A$205,A623)=1,B623&lt;&gt;"",COUNTIFS($A$6:$A$2005,A623,$B$6:$B$2005,B623)=1,OR(F623="Supported",F623="Unsupported",F623="Contradicted"),OR(G623="Supported",G623="Wrong citation",G623="Missing citation"),OR(H623="Yes",H623="No"),I623&lt;&gt;"",OR(F623&lt;&gt;"Supported",E623&lt;&gt;""),OR(G623&lt;&gt;"Supported",AND(F623="Supported",D623&lt;&gt;"",E623&lt;&gt;""))),"Yes","No"))</f>
        <v/>
      </c>
    </row>
    <row r="624" spans="11:11">
      <c r="K624" s="11">
        <f>IF(OR(A624="",C624=""),"",IF(AND(COUNTIF(Responses!$A$6:$A$205,A624)=1,B624&lt;&gt;"",COUNTIFS($A$6:$A$2005,A624,$B$6:$B$2005,B624)=1,OR(F624="Supported",F624="Unsupported",F624="Contradicted"),OR(G624="Supported",G624="Wrong citation",G624="Missing citation"),OR(H624="Yes",H624="No"),I624&lt;&gt;"",OR(F624&lt;&gt;"Supported",E624&lt;&gt;""),OR(G624&lt;&gt;"Supported",AND(F624="Supported",D624&lt;&gt;"",E624&lt;&gt;""))),"Yes","No"))</f>
        <v/>
      </c>
    </row>
    <row r="625" spans="11:11">
      <c r="K625" s="11">
        <f>IF(OR(A625="",C625=""),"",IF(AND(COUNTIF(Responses!$A$6:$A$205,A625)=1,B625&lt;&gt;"",COUNTIFS($A$6:$A$2005,A625,$B$6:$B$2005,B625)=1,OR(F625="Supported",F625="Unsupported",F625="Contradicted"),OR(G625="Supported",G625="Wrong citation",G625="Missing citation"),OR(H625="Yes",H625="No"),I625&lt;&gt;"",OR(F625&lt;&gt;"Supported",E625&lt;&gt;""),OR(G625&lt;&gt;"Supported",AND(F625="Supported",D625&lt;&gt;"",E625&lt;&gt;""))),"Yes","No"))</f>
        <v/>
      </c>
    </row>
    <row r="626" spans="11:11">
      <c r="K626" s="11">
        <f>IF(OR(A626="",C626=""),"",IF(AND(COUNTIF(Responses!$A$6:$A$205,A626)=1,B626&lt;&gt;"",COUNTIFS($A$6:$A$2005,A626,$B$6:$B$2005,B626)=1,OR(F626="Supported",F626="Unsupported",F626="Contradicted"),OR(G626="Supported",G626="Wrong citation",G626="Missing citation"),OR(H626="Yes",H626="No"),I626&lt;&gt;"",OR(F626&lt;&gt;"Supported",E626&lt;&gt;""),OR(G626&lt;&gt;"Supported",AND(F626="Supported",D626&lt;&gt;"",E626&lt;&gt;""))),"Yes","No"))</f>
        <v/>
      </c>
    </row>
    <row r="627" spans="11:11">
      <c r="K627" s="11">
        <f>IF(OR(A627="",C627=""),"",IF(AND(COUNTIF(Responses!$A$6:$A$205,A627)=1,B627&lt;&gt;"",COUNTIFS($A$6:$A$2005,A627,$B$6:$B$2005,B627)=1,OR(F627="Supported",F627="Unsupported",F627="Contradicted"),OR(G627="Supported",G627="Wrong citation",G627="Missing citation"),OR(H627="Yes",H627="No"),I627&lt;&gt;"",OR(F627&lt;&gt;"Supported",E627&lt;&gt;""),OR(G627&lt;&gt;"Supported",AND(F627="Supported",D627&lt;&gt;"",E627&lt;&gt;""))),"Yes","No"))</f>
        <v/>
      </c>
    </row>
    <row r="628" spans="11:11">
      <c r="K628" s="11">
        <f>IF(OR(A628="",C628=""),"",IF(AND(COUNTIF(Responses!$A$6:$A$205,A628)=1,B628&lt;&gt;"",COUNTIFS($A$6:$A$2005,A628,$B$6:$B$2005,B628)=1,OR(F628="Supported",F628="Unsupported",F628="Contradicted"),OR(G628="Supported",G628="Wrong citation",G628="Missing citation"),OR(H628="Yes",H628="No"),I628&lt;&gt;"",OR(F628&lt;&gt;"Supported",E628&lt;&gt;""),OR(G628&lt;&gt;"Supported",AND(F628="Supported",D628&lt;&gt;"",E628&lt;&gt;""))),"Yes","No"))</f>
        <v/>
      </c>
    </row>
    <row r="629" spans="11:11">
      <c r="K629" s="11">
        <f>IF(OR(A629="",C629=""),"",IF(AND(COUNTIF(Responses!$A$6:$A$205,A629)=1,B629&lt;&gt;"",COUNTIFS($A$6:$A$2005,A629,$B$6:$B$2005,B629)=1,OR(F629="Supported",F629="Unsupported",F629="Contradicted"),OR(G629="Supported",G629="Wrong citation",G629="Missing citation"),OR(H629="Yes",H629="No"),I629&lt;&gt;"",OR(F629&lt;&gt;"Supported",E629&lt;&gt;""),OR(G629&lt;&gt;"Supported",AND(F629="Supported",D629&lt;&gt;"",E629&lt;&gt;""))),"Yes","No"))</f>
        <v/>
      </c>
    </row>
    <row r="630" spans="11:11">
      <c r="K630" s="11">
        <f>IF(OR(A630="",C630=""),"",IF(AND(COUNTIF(Responses!$A$6:$A$205,A630)=1,B630&lt;&gt;"",COUNTIFS($A$6:$A$2005,A630,$B$6:$B$2005,B630)=1,OR(F630="Supported",F630="Unsupported",F630="Contradicted"),OR(G630="Supported",G630="Wrong citation",G630="Missing citation"),OR(H630="Yes",H630="No"),I630&lt;&gt;"",OR(F630&lt;&gt;"Supported",E630&lt;&gt;""),OR(G630&lt;&gt;"Supported",AND(F630="Supported",D630&lt;&gt;"",E630&lt;&gt;""))),"Yes","No"))</f>
        <v/>
      </c>
    </row>
    <row r="631" spans="11:11">
      <c r="K631" s="11">
        <f>IF(OR(A631="",C631=""),"",IF(AND(COUNTIF(Responses!$A$6:$A$205,A631)=1,B631&lt;&gt;"",COUNTIFS($A$6:$A$2005,A631,$B$6:$B$2005,B631)=1,OR(F631="Supported",F631="Unsupported",F631="Contradicted"),OR(G631="Supported",G631="Wrong citation",G631="Missing citation"),OR(H631="Yes",H631="No"),I631&lt;&gt;"",OR(F631&lt;&gt;"Supported",E631&lt;&gt;""),OR(G631&lt;&gt;"Supported",AND(F631="Supported",D631&lt;&gt;"",E631&lt;&gt;""))),"Yes","No"))</f>
        <v/>
      </c>
    </row>
    <row r="632" spans="11:11">
      <c r="K632" s="11">
        <f>IF(OR(A632="",C632=""),"",IF(AND(COUNTIF(Responses!$A$6:$A$205,A632)=1,B632&lt;&gt;"",COUNTIFS($A$6:$A$2005,A632,$B$6:$B$2005,B632)=1,OR(F632="Supported",F632="Unsupported",F632="Contradicted"),OR(G632="Supported",G632="Wrong citation",G632="Missing citation"),OR(H632="Yes",H632="No"),I632&lt;&gt;"",OR(F632&lt;&gt;"Supported",E632&lt;&gt;""),OR(G632&lt;&gt;"Supported",AND(F632="Supported",D632&lt;&gt;"",E632&lt;&gt;""))),"Yes","No"))</f>
        <v/>
      </c>
    </row>
    <row r="633" spans="11:11">
      <c r="K633" s="11">
        <f>IF(OR(A633="",C633=""),"",IF(AND(COUNTIF(Responses!$A$6:$A$205,A633)=1,B633&lt;&gt;"",COUNTIFS($A$6:$A$2005,A633,$B$6:$B$2005,B633)=1,OR(F633="Supported",F633="Unsupported",F633="Contradicted"),OR(G633="Supported",G633="Wrong citation",G633="Missing citation"),OR(H633="Yes",H633="No"),I633&lt;&gt;"",OR(F633&lt;&gt;"Supported",E633&lt;&gt;""),OR(G633&lt;&gt;"Supported",AND(F633="Supported",D633&lt;&gt;"",E633&lt;&gt;""))),"Yes","No"))</f>
        <v/>
      </c>
    </row>
    <row r="634" spans="11:11">
      <c r="K634" s="11">
        <f>IF(OR(A634="",C634=""),"",IF(AND(COUNTIF(Responses!$A$6:$A$205,A634)=1,B634&lt;&gt;"",COUNTIFS($A$6:$A$2005,A634,$B$6:$B$2005,B634)=1,OR(F634="Supported",F634="Unsupported",F634="Contradicted"),OR(G634="Supported",G634="Wrong citation",G634="Missing citation"),OR(H634="Yes",H634="No"),I634&lt;&gt;"",OR(F634&lt;&gt;"Supported",E634&lt;&gt;""),OR(G634&lt;&gt;"Supported",AND(F634="Supported",D634&lt;&gt;"",E634&lt;&gt;""))),"Yes","No"))</f>
        <v/>
      </c>
    </row>
    <row r="635" spans="11:11">
      <c r="K635" s="11">
        <f>IF(OR(A635="",C635=""),"",IF(AND(COUNTIF(Responses!$A$6:$A$205,A635)=1,B635&lt;&gt;"",COUNTIFS($A$6:$A$2005,A635,$B$6:$B$2005,B635)=1,OR(F635="Supported",F635="Unsupported",F635="Contradicted"),OR(G635="Supported",G635="Wrong citation",G635="Missing citation"),OR(H635="Yes",H635="No"),I635&lt;&gt;"",OR(F635&lt;&gt;"Supported",E635&lt;&gt;""),OR(G635&lt;&gt;"Supported",AND(F635="Supported",D635&lt;&gt;"",E635&lt;&gt;""))),"Yes","No"))</f>
        <v/>
      </c>
    </row>
    <row r="636" spans="11:11">
      <c r="K636" s="11">
        <f>IF(OR(A636="",C636=""),"",IF(AND(COUNTIF(Responses!$A$6:$A$205,A636)=1,B636&lt;&gt;"",COUNTIFS($A$6:$A$2005,A636,$B$6:$B$2005,B636)=1,OR(F636="Supported",F636="Unsupported",F636="Contradicted"),OR(G636="Supported",G636="Wrong citation",G636="Missing citation"),OR(H636="Yes",H636="No"),I636&lt;&gt;"",OR(F636&lt;&gt;"Supported",E636&lt;&gt;""),OR(G636&lt;&gt;"Supported",AND(F636="Supported",D636&lt;&gt;"",E636&lt;&gt;""))),"Yes","No"))</f>
        <v/>
      </c>
    </row>
    <row r="637" spans="11:11">
      <c r="K637" s="11">
        <f>IF(OR(A637="",C637=""),"",IF(AND(COUNTIF(Responses!$A$6:$A$205,A637)=1,B637&lt;&gt;"",COUNTIFS($A$6:$A$2005,A637,$B$6:$B$2005,B637)=1,OR(F637="Supported",F637="Unsupported",F637="Contradicted"),OR(G637="Supported",G637="Wrong citation",G637="Missing citation"),OR(H637="Yes",H637="No"),I637&lt;&gt;"",OR(F637&lt;&gt;"Supported",E637&lt;&gt;""),OR(G637&lt;&gt;"Supported",AND(F637="Supported",D637&lt;&gt;"",E637&lt;&gt;""))),"Yes","No"))</f>
        <v/>
      </c>
    </row>
    <row r="638" spans="11:11">
      <c r="K638" s="11">
        <f>IF(OR(A638="",C638=""),"",IF(AND(COUNTIF(Responses!$A$6:$A$205,A638)=1,B638&lt;&gt;"",COUNTIFS($A$6:$A$2005,A638,$B$6:$B$2005,B638)=1,OR(F638="Supported",F638="Unsupported",F638="Contradicted"),OR(G638="Supported",G638="Wrong citation",G638="Missing citation"),OR(H638="Yes",H638="No"),I638&lt;&gt;"",OR(F638&lt;&gt;"Supported",E638&lt;&gt;""),OR(G638&lt;&gt;"Supported",AND(F638="Supported",D638&lt;&gt;"",E638&lt;&gt;""))),"Yes","No"))</f>
        <v/>
      </c>
    </row>
    <row r="639" spans="11:11">
      <c r="K639" s="11">
        <f>IF(OR(A639="",C639=""),"",IF(AND(COUNTIF(Responses!$A$6:$A$205,A639)=1,B639&lt;&gt;"",COUNTIFS($A$6:$A$2005,A639,$B$6:$B$2005,B639)=1,OR(F639="Supported",F639="Unsupported",F639="Contradicted"),OR(G639="Supported",G639="Wrong citation",G639="Missing citation"),OR(H639="Yes",H639="No"),I639&lt;&gt;"",OR(F639&lt;&gt;"Supported",E639&lt;&gt;""),OR(G639&lt;&gt;"Supported",AND(F639="Supported",D639&lt;&gt;"",E639&lt;&gt;""))),"Yes","No"))</f>
        <v/>
      </c>
    </row>
    <row r="640" spans="11:11">
      <c r="K640" s="11">
        <f>IF(OR(A640="",C640=""),"",IF(AND(COUNTIF(Responses!$A$6:$A$205,A640)=1,B640&lt;&gt;"",COUNTIFS($A$6:$A$2005,A640,$B$6:$B$2005,B640)=1,OR(F640="Supported",F640="Unsupported",F640="Contradicted"),OR(G640="Supported",G640="Wrong citation",G640="Missing citation"),OR(H640="Yes",H640="No"),I640&lt;&gt;"",OR(F640&lt;&gt;"Supported",E640&lt;&gt;""),OR(G640&lt;&gt;"Supported",AND(F640="Supported",D640&lt;&gt;"",E640&lt;&gt;""))),"Yes","No"))</f>
        <v/>
      </c>
    </row>
    <row r="641" spans="11:11">
      <c r="K641" s="11">
        <f>IF(OR(A641="",C641=""),"",IF(AND(COUNTIF(Responses!$A$6:$A$205,A641)=1,B641&lt;&gt;"",COUNTIFS($A$6:$A$2005,A641,$B$6:$B$2005,B641)=1,OR(F641="Supported",F641="Unsupported",F641="Contradicted"),OR(G641="Supported",G641="Wrong citation",G641="Missing citation"),OR(H641="Yes",H641="No"),I641&lt;&gt;"",OR(F641&lt;&gt;"Supported",E641&lt;&gt;""),OR(G641&lt;&gt;"Supported",AND(F641="Supported",D641&lt;&gt;"",E641&lt;&gt;""))),"Yes","No"))</f>
        <v/>
      </c>
    </row>
    <row r="642" spans="11:11">
      <c r="K642" s="11">
        <f>IF(OR(A642="",C642=""),"",IF(AND(COUNTIF(Responses!$A$6:$A$205,A642)=1,B642&lt;&gt;"",COUNTIFS($A$6:$A$2005,A642,$B$6:$B$2005,B642)=1,OR(F642="Supported",F642="Unsupported",F642="Contradicted"),OR(G642="Supported",G642="Wrong citation",G642="Missing citation"),OR(H642="Yes",H642="No"),I642&lt;&gt;"",OR(F642&lt;&gt;"Supported",E642&lt;&gt;""),OR(G642&lt;&gt;"Supported",AND(F642="Supported",D642&lt;&gt;"",E642&lt;&gt;""))),"Yes","No"))</f>
        <v/>
      </c>
    </row>
    <row r="643" spans="11:11">
      <c r="K643" s="11">
        <f>IF(OR(A643="",C643=""),"",IF(AND(COUNTIF(Responses!$A$6:$A$205,A643)=1,B643&lt;&gt;"",COUNTIFS($A$6:$A$2005,A643,$B$6:$B$2005,B643)=1,OR(F643="Supported",F643="Unsupported",F643="Contradicted"),OR(G643="Supported",G643="Wrong citation",G643="Missing citation"),OR(H643="Yes",H643="No"),I643&lt;&gt;"",OR(F643&lt;&gt;"Supported",E643&lt;&gt;""),OR(G643&lt;&gt;"Supported",AND(F643="Supported",D643&lt;&gt;"",E643&lt;&gt;""))),"Yes","No"))</f>
        <v/>
      </c>
    </row>
    <row r="644" spans="11:11">
      <c r="K644" s="11">
        <f>IF(OR(A644="",C644=""),"",IF(AND(COUNTIF(Responses!$A$6:$A$205,A644)=1,B644&lt;&gt;"",COUNTIFS($A$6:$A$2005,A644,$B$6:$B$2005,B644)=1,OR(F644="Supported",F644="Unsupported",F644="Contradicted"),OR(G644="Supported",G644="Wrong citation",G644="Missing citation"),OR(H644="Yes",H644="No"),I644&lt;&gt;"",OR(F644&lt;&gt;"Supported",E644&lt;&gt;""),OR(G644&lt;&gt;"Supported",AND(F644="Supported",D644&lt;&gt;"",E644&lt;&gt;""))),"Yes","No"))</f>
        <v/>
      </c>
    </row>
    <row r="645" spans="11:11">
      <c r="K645" s="11">
        <f>IF(OR(A645="",C645=""),"",IF(AND(COUNTIF(Responses!$A$6:$A$205,A645)=1,B645&lt;&gt;"",COUNTIFS($A$6:$A$2005,A645,$B$6:$B$2005,B645)=1,OR(F645="Supported",F645="Unsupported",F645="Contradicted"),OR(G645="Supported",G645="Wrong citation",G645="Missing citation"),OR(H645="Yes",H645="No"),I645&lt;&gt;"",OR(F645&lt;&gt;"Supported",E645&lt;&gt;""),OR(G645&lt;&gt;"Supported",AND(F645="Supported",D645&lt;&gt;"",E645&lt;&gt;""))),"Yes","No"))</f>
        <v/>
      </c>
    </row>
    <row r="646" spans="11:11">
      <c r="K646" s="11">
        <f>IF(OR(A646="",C646=""),"",IF(AND(COUNTIF(Responses!$A$6:$A$205,A646)=1,B646&lt;&gt;"",COUNTIFS($A$6:$A$2005,A646,$B$6:$B$2005,B646)=1,OR(F646="Supported",F646="Unsupported",F646="Contradicted"),OR(G646="Supported",G646="Wrong citation",G646="Missing citation"),OR(H646="Yes",H646="No"),I646&lt;&gt;"",OR(F646&lt;&gt;"Supported",E646&lt;&gt;""),OR(G646&lt;&gt;"Supported",AND(F646="Supported",D646&lt;&gt;"",E646&lt;&gt;""))),"Yes","No"))</f>
        <v/>
      </c>
    </row>
    <row r="647" spans="11:11">
      <c r="K647" s="11">
        <f>IF(OR(A647="",C647=""),"",IF(AND(COUNTIF(Responses!$A$6:$A$205,A647)=1,B647&lt;&gt;"",COUNTIFS($A$6:$A$2005,A647,$B$6:$B$2005,B647)=1,OR(F647="Supported",F647="Unsupported",F647="Contradicted"),OR(G647="Supported",G647="Wrong citation",G647="Missing citation"),OR(H647="Yes",H647="No"),I647&lt;&gt;"",OR(F647&lt;&gt;"Supported",E647&lt;&gt;""),OR(G647&lt;&gt;"Supported",AND(F647="Supported",D647&lt;&gt;"",E647&lt;&gt;""))),"Yes","No"))</f>
        <v/>
      </c>
    </row>
    <row r="648" spans="11:11">
      <c r="K648" s="11">
        <f>IF(OR(A648="",C648=""),"",IF(AND(COUNTIF(Responses!$A$6:$A$205,A648)=1,B648&lt;&gt;"",COUNTIFS($A$6:$A$2005,A648,$B$6:$B$2005,B648)=1,OR(F648="Supported",F648="Unsupported",F648="Contradicted"),OR(G648="Supported",G648="Wrong citation",G648="Missing citation"),OR(H648="Yes",H648="No"),I648&lt;&gt;"",OR(F648&lt;&gt;"Supported",E648&lt;&gt;""),OR(G648&lt;&gt;"Supported",AND(F648="Supported",D648&lt;&gt;"",E648&lt;&gt;""))),"Yes","No"))</f>
        <v/>
      </c>
    </row>
    <row r="649" spans="11:11">
      <c r="K649" s="11">
        <f>IF(OR(A649="",C649=""),"",IF(AND(COUNTIF(Responses!$A$6:$A$205,A649)=1,B649&lt;&gt;"",COUNTIFS($A$6:$A$2005,A649,$B$6:$B$2005,B649)=1,OR(F649="Supported",F649="Unsupported",F649="Contradicted"),OR(G649="Supported",G649="Wrong citation",G649="Missing citation"),OR(H649="Yes",H649="No"),I649&lt;&gt;"",OR(F649&lt;&gt;"Supported",E649&lt;&gt;""),OR(G649&lt;&gt;"Supported",AND(F649="Supported",D649&lt;&gt;"",E649&lt;&gt;""))),"Yes","No"))</f>
        <v/>
      </c>
    </row>
    <row r="650" spans="11:11">
      <c r="K650" s="11">
        <f>IF(OR(A650="",C650=""),"",IF(AND(COUNTIF(Responses!$A$6:$A$205,A650)=1,B650&lt;&gt;"",COUNTIFS($A$6:$A$2005,A650,$B$6:$B$2005,B650)=1,OR(F650="Supported",F650="Unsupported",F650="Contradicted"),OR(G650="Supported",G650="Wrong citation",G650="Missing citation"),OR(H650="Yes",H650="No"),I650&lt;&gt;"",OR(F650&lt;&gt;"Supported",E650&lt;&gt;""),OR(G650&lt;&gt;"Supported",AND(F650="Supported",D650&lt;&gt;"",E650&lt;&gt;""))),"Yes","No"))</f>
        <v/>
      </c>
    </row>
    <row r="651" spans="11:11">
      <c r="K651" s="11">
        <f>IF(OR(A651="",C651=""),"",IF(AND(COUNTIF(Responses!$A$6:$A$205,A651)=1,B651&lt;&gt;"",COUNTIFS($A$6:$A$2005,A651,$B$6:$B$2005,B651)=1,OR(F651="Supported",F651="Unsupported",F651="Contradicted"),OR(G651="Supported",G651="Wrong citation",G651="Missing citation"),OR(H651="Yes",H651="No"),I651&lt;&gt;"",OR(F651&lt;&gt;"Supported",E651&lt;&gt;""),OR(G651&lt;&gt;"Supported",AND(F651="Supported",D651&lt;&gt;"",E651&lt;&gt;""))),"Yes","No"))</f>
        <v/>
      </c>
    </row>
    <row r="652" spans="11:11">
      <c r="K652" s="11">
        <f>IF(OR(A652="",C652=""),"",IF(AND(COUNTIF(Responses!$A$6:$A$205,A652)=1,B652&lt;&gt;"",COUNTIFS($A$6:$A$2005,A652,$B$6:$B$2005,B652)=1,OR(F652="Supported",F652="Unsupported",F652="Contradicted"),OR(G652="Supported",G652="Wrong citation",G652="Missing citation"),OR(H652="Yes",H652="No"),I652&lt;&gt;"",OR(F652&lt;&gt;"Supported",E652&lt;&gt;""),OR(G652&lt;&gt;"Supported",AND(F652="Supported",D652&lt;&gt;"",E652&lt;&gt;""))),"Yes","No"))</f>
        <v/>
      </c>
    </row>
    <row r="653" spans="11:11">
      <c r="K653" s="11">
        <f>IF(OR(A653="",C653=""),"",IF(AND(COUNTIF(Responses!$A$6:$A$205,A653)=1,B653&lt;&gt;"",COUNTIFS($A$6:$A$2005,A653,$B$6:$B$2005,B653)=1,OR(F653="Supported",F653="Unsupported",F653="Contradicted"),OR(G653="Supported",G653="Wrong citation",G653="Missing citation"),OR(H653="Yes",H653="No"),I653&lt;&gt;"",OR(F653&lt;&gt;"Supported",E653&lt;&gt;""),OR(G653&lt;&gt;"Supported",AND(F653="Supported",D653&lt;&gt;"",E653&lt;&gt;""))),"Yes","No"))</f>
        <v/>
      </c>
    </row>
    <row r="654" spans="11:11">
      <c r="K654" s="11">
        <f>IF(OR(A654="",C654=""),"",IF(AND(COUNTIF(Responses!$A$6:$A$205,A654)=1,B654&lt;&gt;"",COUNTIFS($A$6:$A$2005,A654,$B$6:$B$2005,B654)=1,OR(F654="Supported",F654="Unsupported",F654="Contradicted"),OR(G654="Supported",G654="Wrong citation",G654="Missing citation"),OR(H654="Yes",H654="No"),I654&lt;&gt;"",OR(F654&lt;&gt;"Supported",E654&lt;&gt;""),OR(G654&lt;&gt;"Supported",AND(F654="Supported",D654&lt;&gt;"",E654&lt;&gt;""))),"Yes","No"))</f>
        <v/>
      </c>
    </row>
    <row r="655" spans="11:11">
      <c r="K655" s="11">
        <f>IF(OR(A655="",C655=""),"",IF(AND(COUNTIF(Responses!$A$6:$A$205,A655)=1,B655&lt;&gt;"",COUNTIFS($A$6:$A$2005,A655,$B$6:$B$2005,B655)=1,OR(F655="Supported",F655="Unsupported",F655="Contradicted"),OR(G655="Supported",G655="Wrong citation",G655="Missing citation"),OR(H655="Yes",H655="No"),I655&lt;&gt;"",OR(F655&lt;&gt;"Supported",E655&lt;&gt;""),OR(G655&lt;&gt;"Supported",AND(F655="Supported",D655&lt;&gt;"",E655&lt;&gt;""))),"Yes","No"))</f>
        <v/>
      </c>
    </row>
    <row r="656" spans="11:11">
      <c r="K656" s="11">
        <f>IF(OR(A656="",C656=""),"",IF(AND(COUNTIF(Responses!$A$6:$A$205,A656)=1,B656&lt;&gt;"",COUNTIFS($A$6:$A$2005,A656,$B$6:$B$2005,B656)=1,OR(F656="Supported",F656="Unsupported",F656="Contradicted"),OR(G656="Supported",G656="Wrong citation",G656="Missing citation"),OR(H656="Yes",H656="No"),I656&lt;&gt;"",OR(F656&lt;&gt;"Supported",E656&lt;&gt;""),OR(G656&lt;&gt;"Supported",AND(F656="Supported",D656&lt;&gt;"",E656&lt;&gt;""))),"Yes","No"))</f>
        <v/>
      </c>
    </row>
    <row r="657" spans="11:11">
      <c r="K657" s="11">
        <f>IF(OR(A657="",C657=""),"",IF(AND(COUNTIF(Responses!$A$6:$A$205,A657)=1,B657&lt;&gt;"",COUNTIFS($A$6:$A$2005,A657,$B$6:$B$2005,B657)=1,OR(F657="Supported",F657="Unsupported",F657="Contradicted"),OR(G657="Supported",G657="Wrong citation",G657="Missing citation"),OR(H657="Yes",H657="No"),I657&lt;&gt;"",OR(F657&lt;&gt;"Supported",E657&lt;&gt;""),OR(G657&lt;&gt;"Supported",AND(F657="Supported",D657&lt;&gt;"",E657&lt;&gt;""))),"Yes","No"))</f>
        <v/>
      </c>
    </row>
    <row r="658" spans="11:11">
      <c r="K658" s="11">
        <f>IF(OR(A658="",C658=""),"",IF(AND(COUNTIF(Responses!$A$6:$A$205,A658)=1,B658&lt;&gt;"",COUNTIFS($A$6:$A$2005,A658,$B$6:$B$2005,B658)=1,OR(F658="Supported",F658="Unsupported",F658="Contradicted"),OR(G658="Supported",G658="Wrong citation",G658="Missing citation"),OR(H658="Yes",H658="No"),I658&lt;&gt;"",OR(F658&lt;&gt;"Supported",E658&lt;&gt;""),OR(G658&lt;&gt;"Supported",AND(F658="Supported",D658&lt;&gt;"",E658&lt;&gt;""))),"Yes","No"))</f>
        <v/>
      </c>
    </row>
    <row r="659" spans="11:11">
      <c r="K659" s="11">
        <f>IF(OR(A659="",C659=""),"",IF(AND(COUNTIF(Responses!$A$6:$A$205,A659)=1,B659&lt;&gt;"",COUNTIFS($A$6:$A$2005,A659,$B$6:$B$2005,B659)=1,OR(F659="Supported",F659="Unsupported",F659="Contradicted"),OR(G659="Supported",G659="Wrong citation",G659="Missing citation"),OR(H659="Yes",H659="No"),I659&lt;&gt;"",OR(F659&lt;&gt;"Supported",E659&lt;&gt;""),OR(G659&lt;&gt;"Supported",AND(F659="Supported",D659&lt;&gt;"",E659&lt;&gt;""))),"Yes","No"))</f>
        <v/>
      </c>
    </row>
    <row r="660" spans="11:11">
      <c r="K660" s="11">
        <f>IF(OR(A660="",C660=""),"",IF(AND(COUNTIF(Responses!$A$6:$A$205,A660)=1,B660&lt;&gt;"",COUNTIFS($A$6:$A$2005,A660,$B$6:$B$2005,B660)=1,OR(F660="Supported",F660="Unsupported",F660="Contradicted"),OR(G660="Supported",G660="Wrong citation",G660="Missing citation"),OR(H660="Yes",H660="No"),I660&lt;&gt;"",OR(F660&lt;&gt;"Supported",E660&lt;&gt;""),OR(G660&lt;&gt;"Supported",AND(F660="Supported",D660&lt;&gt;"",E660&lt;&gt;""))),"Yes","No"))</f>
        <v/>
      </c>
    </row>
    <row r="661" spans="11:11">
      <c r="K661" s="11">
        <f>IF(OR(A661="",C661=""),"",IF(AND(COUNTIF(Responses!$A$6:$A$205,A661)=1,B661&lt;&gt;"",COUNTIFS($A$6:$A$2005,A661,$B$6:$B$2005,B661)=1,OR(F661="Supported",F661="Unsupported",F661="Contradicted"),OR(G661="Supported",G661="Wrong citation",G661="Missing citation"),OR(H661="Yes",H661="No"),I661&lt;&gt;"",OR(F661&lt;&gt;"Supported",E661&lt;&gt;""),OR(G661&lt;&gt;"Supported",AND(F661="Supported",D661&lt;&gt;"",E661&lt;&gt;""))),"Yes","No"))</f>
        <v/>
      </c>
    </row>
    <row r="662" spans="11:11">
      <c r="K662" s="11">
        <f>IF(OR(A662="",C662=""),"",IF(AND(COUNTIF(Responses!$A$6:$A$205,A662)=1,B662&lt;&gt;"",COUNTIFS($A$6:$A$2005,A662,$B$6:$B$2005,B662)=1,OR(F662="Supported",F662="Unsupported",F662="Contradicted"),OR(G662="Supported",G662="Wrong citation",G662="Missing citation"),OR(H662="Yes",H662="No"),I662&lt;&gt;"",OR(F662&lt;&gt;"Supported",E662&lt;&gt;""),OR(G662&lt;&gt;"Supported",AND(F662="Supported",D662&lt;&gt;"",E662&lt;&gt;""))),"Yes","No"))</f>
        <v/>
      </c>
    </row>
    <row r="663" spans="11:11">
      <c r="K663" s="11">
        <f>IF(OR(A663="",C663=""),"",IF(AND(COUNTIF(Responses!$A$6:$A$205,A663)=1,B663&lt;&gt;"",COUNTIFS($A$6:$A$2005,A663,$B$6:$B$2005,B663)=1,OR(F663="Supported",F663="Unsupported",F663="Contradicted"),OR(G663="Supported",G663="Wrong citation",G663="Missing citation"),OR(H663="Yes",H663="No"),I663&lt;&gt;"",OR(F663&lt;&gt;"Supported",E663&lt;&gt;""),OR(G663&lt;&gt;"Supported",AND(F663="Supported",D663&lt;&gt;"",E663&lt;&gt;""))),"Yes","No"))</f>
        <v/>
      </c>
    </row>
    <row r="664" spans="11:11">
      <c r="K664" s="11">
        <f>IF(OR(A664="",C664=""),"",IF(AND(COUNTIF(Responses!$A$6:$A$205,A664)=1,B664&lt;&gt;"",COUNTIFS($A$6:$A$2005,A664,$B$6:$B$2005,B664)=1,OR(F664="Supported",F664="Unsupported",F664="Contradicted"),OR(G664="Supported",G664="Wrong citation",G664="Missing citation"),OR(H664="Yes",H664="No"),I664&lt;&gt;"",OR(F664&lt;&gt;"Supported",E664&lt;&gt;""),OR(G664&lt;&gt;"Supported",AND(F664="Supported",D664&lt;&gt;"",E664&lt;&gt;""))),"Yes","No"))</f>
        <v/>
      </c>
    </row>
    <row r="665" spans="11:11">
      <c r="K665" s="11">
        <f>IF(OR(A665="",C665=""),"",IF(AND(COUNTIF(Responses!$A$6:$A$205,A665)=1,B665&lt;&gt;"",COUNTIFS($A$6:$A$2005,A665,$B$6:$B$2005,B665)=1,OR(F665="Supported",F665="Unsupported",F665="Contradicted"),OR(G665="Supported",G665="Wrong citation",G665="Missing citation"),OR(H665="Yes",H665="No"),I665&lt;&gt;"",OR(F665&lt;&gt;"Supported",E665&lt;&gt;""),OR(G665&lt;&gt;"Supported",AND(F665="Supported",D665&lt;&gt;"",E665&lt;&gt;""))),"Yes","No"))</f>
        <v/>
      </c>
    </row>
    <row r="666" spans="11:11">
      <c r="K666" s="11">
        <f>IF(OR(A666="",C666=""),"",IF(AND(COUNTIF(Responses!$A$6:$A$205,A666)=1,B666&lt;&gt;"",COUNTIFS($A$6:$A$2005,A666,$B$6:$B$2005,B666)=1,OR(F666="Supported",F666="Unsupported",F666="Contradicted"),OR(G666="Supported",G666="Wrong citation",G666="Missing citation"),OR(H666="Yes",H666="No"),I666&lt;&gt;"",OR(F666&lt;&gt;"Supported",E666&lt;&gt;""),OR(G666&lt;&gt;"Supported",AND(F666="Supported",D666&lt;&gt;"",E666&lt;&gt;""))),"Yes","No"))</f>
        <v/>
      </c>
    </row>
    <row r="667" spans="11:11">
      <c r="K667" s="11">
        <f>IF(OR(A667="",C667=""),"",IF(AND(COUNTIF(Responses!$A$6:$A$205,A667)=1,B667&lt;&gt;"",COUNTIFS($A$6:$A$2005,A667,$B$6:$B$2005,B667)=1,OR(F667="Supported",F667="Unsupported",F667="Contradicted"),OR(G667="Supported",G667="Wrong citation",G667="Missing citation"),OR(H667="Yes",H667="No"),I667&lt;&gt;"",OR(F667&lt;&gt;"Supported",E667&lt;&gt;""),OR(G667&lt;&gt;"Supported",AND(F667="Supported",D667&lt;&gt;"",E667&lt;&gt;""))),"Yes","No"))</f>
        <v/>
      </c>
    </row>
    <row r="668" spans="11:11">
      <c r="K668" s="11">
        <f>IF(OR(A668="",C668=""),"",IF(AND(COUNTIF(Responses!$A$6:$A$205,A668)=1,B668&lt;&gt;"",COUNTIFS($A$6:$A$2005,A668,$B$6:$B$2005,B668)=1,OR(F668="Supported",F668="Unsupported",F668="Contradicted"),OR(G668="Supported",G668="Wrong citation",G668="Missing citation"),OR(H668="Yes",H668="No"),I668&lt;&gt;"",OR(F668&lt;&gt;"Supported",E668&lt;&gt;""),OR(G668&lt;&gt;"Supported",AND(F668="Supported",D668&lt;&gt;"",E668&lt;&gt;""))),"Yes","No"))</f>
        <v/>
      </c>
    </row>
    <row r="669" spans="11:11">
      <c r="K669" s="11">
        <f>IF(OR(A669="",C669=""),"",IF(AND(COUNTIF(Responses!$A$6:$A$205,A669)=1,B669&lt;&gt;"",COUNTIFS($A$6:$A$2005,A669,$B$6:$B$2005,B669)=1,OR(F669="Supported",F669="Unsupported",F669="Contradicted"),OR(G669="Supported",G669="Wrong citation",G669="Missing citation"),OR(H669="Yes",H669="No"),I669&lt;&gt;"",OR(F669&lt;&gt;"Supported",E669&lt;&gt;""),OR(G669&lt;&gt;"Supported",AND(F669="Supported",D669&lt;&gt;"",E669&lt;&gt;""))),"Yes","No"))</f>
        <v/>
      </c>
    </row>
    <row r="670" spans="11:11">
      <c r="K670" s="11">
        <f>IF(OR(A670="",C670=""),"",IF(AND(COUNTIF(Responses!$A$6:$A$205,A670)=1,B670&lt;&gt;"",COUNTIFS($A$6:$A$2005,A670,$B$6:$B$2005,B670)=1,OR(F670="Supported",F670="Unsupported",F670="Contradicted"),OR(G670="Supported",G670="Wrong citation",G670="Missing citation"),OR(H670="Yes",H670="No"),I670&lt;&gt;"",OR(F670&lt;&gt;"Supported",E670&lt;&gt;""),OR(G670&lt;&gt;"Supported",AND(F670="Supported",D670&lt;&gt;"",E670&lt;&gt;""))),"Yes","No"))</f>
        <v/>
      </c>
    </row>
    <row r="671" spans="11:11">
      <c r="K671" s="11">
        <f>IF(OR(A671="",C671=""),"",IF(AND(COUNTIF(Responses!$A$6:$A$205,A671)=1,B671&lt;&gt;"",COUNTIFS($A$6:$A$2005,A671,$B$6:$B$2005,B671)=1,OR(F671="Supported",F671="Unsupported",F671="Contradicted"),OR(G671="Supported",G671="Wrong citation",G671="Missing citation"),OR(H671="Yes",H671="No"),I671&lt;&gt;"",OR(F671&lt;&gt;"Supported",E671&lt;&gt;""),OR(G671&lt;&gt;"Supported",AND(F671="Supported",D671&lt;&gt;"",E671&lt;&gt;""))),"Yes","No"))</f>
        <v/>
      </c>
    </row>
    <row r="672" spans="11:11">
      <c r="K672" s="11">
        <f>IF(OR(A672="",C672=""),"",IF(AND(COUNTIF(Responses!$A$6:$A$205,A672)=1,B672&lt;&gt;"",COUNTIFS($A$6:$A$2005,A672,$B$6:$B$2005,B672)=1,OR(F672="Supported",F672="Unsupported",F672="Contradicted"),OR(G672="Supported",G672="Wrong citation",G672="Missing citation"),OR(H672="Yes",H672="No"),I672&lt;&gt;"",OR(F672&lt;&gt;"Supported",E672&lt;&gt;""),OR(G672&lt;&gt;"Supported",AND(F672="Supported",D672&lt;&gt;"",E672&lt;&gt;""))),"Yes","No"))</f>
        <v/>
      </c>
    </row>
    <row r="673" spans="11:11">
      <c r="K673" s="11">
        <f>IF(OR(A673="",C673=""),"",IF(AND(COUNTIF(Responses!$A$6:$A$205,A673)=1,B673&lt;&gt;"",COUNTIFS($A$6:$A$2005,A673,$B$6:$B$2005,B673)=1,OR(F673="Supported",F673="Unsupported",F673="Contradicted"),OR(G673="Supported",G673="Wrong citation",G673="Missing citation"),OR(H673="Yes",H673="No"),I673&lt;&gt;"",OR(F673&lt;&gt;"Supported",E673&lt;&gt;""),OR(G673&lt;&gt;"Supported",AND(F673="Supported",D673&lt;&gt;"",E673&lt;&gt;""))),"Yes","No"))</f>
        <v/>
      </c>
    </row>
    <row r="674" spans="11:11">
      <c r="K674" s="11">
        <f>IF(OR(A674="",C674=""),"",IF(AND(COUNTIF(Responses!$A$6:$A$205,A674)=1,B674&lt;&gt;"",COUNTIFS($A$6:$A$2005,A674,$B$6:$B$2005,B674)=1,OR(F674="Supported",F674="Unsupported",F674="Contradicted"),OR(G674="Supported",G674="Wrong citation",G674="Missing citation"),OR(H674="Yes",H674="No"),I674&lt;&gt;"",OR(F674&lt;&gt;"Supported",E674&lt;&gt;""),OR(G674&lt;&gt;"Supported",AND(F674="Supported",D674&lt;&gt;"",E674&lt;&gt;""))),"Yes","No"))</f>
        <v/>
      </c>
    </row>
    <row r="675" spans="11:11">
      <c r="K675" s="11">
        <f>IF(OR(A675="",C675=""),"",IF(AND(COUNTIF(Responses!$A$6:$A$205,A675)=1,B675&lt;&gt;"",COUNTIFS($A$6:$A$2005,A675,$B$6:$B$2005,B675)=1,OR(F675="Supported",F675="Unsupported",F675="Contradicted"),OR(G675="Supported",G675="Wrong citation",G675="Missing citation"),OR(H675="Yes",H675="No"),I675&lt;&gt;"",OR(F675&lt;&gt;"Supported",E675&lt;&gt;""),OR(G675&lt;&gt;"Supported",AND(F675="Supported",D675&lt;&gt;"",E675&lt;&gt;""))),"Yes","No"))</f>
        <v/>
      </c>
    </row>
    <row r="676" spans="11:11">
      <c r="K676" s="11">
        <f>IF(OR(A676="",C676=""),"",IF(AND(COUNTIF(Responses!$A$6:$A$205,A676)=1,B676&lt;&gt;"",COUNTIFS($A$6:$A$2005,A676,$B$6:$B$2005,B676)=1,OR(F676="Supported",F676="Unsupported",F676="Contradicted"),OR(G676="Supported",G676="Wrong citation",G676="Missing citation"),OR(H676="Yes",H676="No"),I676&lt;&gt;"",OR(F676&lt;&gt;"Supported",E676&lt;&gt;""),OR(G676&lt;&gt;"Supported",AND(F676="Supported",D676&lt;&gt;"",E676&lt;&gt;""))),"Yes","No"))</f>
        <v/>
      </c>
    </row>
    <row r="677" spans="11:11">
      <c r="K677" s="11">
        <f>IF(OR(A677="",C677=""),"",IF(AND(COUNTIF(Responses!$A$6:$A$205,A677)=1,B677&lt;&gt;"",COUNTIFS($A$6:$A$2005,A677,$B$6:$B$2005,B677)=1,OR(F677="Supported",F677="Unsupported",F677="Contradicted"),OR(G677="Supported",G677="Wrong citation",G677="Missing citation"),OR(H677="Yes",H677="No"),I677&lt;&gt;"",OR(F677&lt;&gt;"Supported",E677&lt;&gt;""),OR(G677&lt;&gt;"Supported",AND(F677="Supported",D677&lt;&gt;"",E677&lt;&gt;""))),"Yes","No"))</f>
        <v/>
      </c>
    </row>
    <row r="678" spans="11:11">
      <c r="K678" s="11">
        <f>IF(OR(A678="",C678=""),"",IF(AND(COUNTIF(Responses!$A$6:$A$205,A678)=1,B678&lt;&gt;"",COUNTIFS($A$6:$A$2005,A678,$B$6:$B$2005,B678)=1,OR(F678="Supported",F678="Unsupported",F678="Contradicted"),OR(G678="Supported",G678="Wrong citation",G678="Missing citation"),OR(H678="Yes",H678="No"),I678&lt;&gt;"",OR(F678&lt;&gt;"Supported",E678&lt;&gt;""),OR(G678&lt;&gt;"Supported",AND(F678="Supported",D678&lt;&gt;"",E678&lt;&gt;""))),"Yes","No"))</f>
        <v/>
      </c>
    </row>
    <row r="679" spans="11:11">
      <c r="K679" s="11">
        <f>IF(OR(A679="",C679=""),"",IF(AND(COUNTIF(Responses!$A$6:$A$205,A679)=1,B679&lt;&gt;"",COUNTIFS($A$6:$A$2005,A679,$B$6:$B$2005,B679)=1,OR(F679="Supported",F679="Unsupported",F679="Contradicted"),OR(G679="Supported",G679="Wrong citation",G679="Missing citation"),OR(H679="Yes",H679="No"),I679&lt;&gt;"",OR(F679&lt;&gt;"Supported",E679&lt;&gt;""),OR(G679&lt;&gt;"Supported",AND(F679="Supported",D679&lt;&gt;"",E679&lt;&gt;""))),"Yes","No"))</f>
        <v/>
      </c>
    </row>
    <row r="680" spans="11:11">
      <c r="K680" s="11">
        <f>IF(OR(A680="",C680=""),"",IF(AND(COUNTIF(Responses!$A$6:$A$205,A680)=1,B680&lt;&gt;"",COUNTIFS($A$6:$A$2005,A680,$B$6:$B$2005,B680)=1,OR(F680="Supported",F680="Unsupported",F680="Contradicted"),OR(G680="Supported",G680="Wrong citation",G680="Missing citation"),OR(H680="Yes",H680="No"),I680&lt;&gt;"",OR(F680&lt;&gt;"Supported",E680&lt;&gt;""),OR(G680&lt;&gt;"Supported",AND(F680="Supported",D680&lt;&gt;"",E680&lt;&gt;""))),"Yes","No"))</f>
        <v/>
      </c>
    </row>
    <row r="681" spans="11:11">
      <c r="K681" s="11">
        <f>IF(OR(A681="",C681=""),"",IF(AND(COUNTIF(Responses!$A$6:$A$205,A681)=1,B681&lt;&gt;"",COUNTIFS($A$6:$A$2005,A681,$B$6:$B$2005,B681)=1,OR(F681="Supported",F681="Unsupported",F681="Contradicted"),OR(G681="Supported",G681="Wrong citation",G681="Missing citation"),OR(H681="Yes",H681="No"),I681&lt;&gt;"",OR(F681&lt;&gt;"Supported",E681&lt;&gt;""),OR(G681&lt;&gt;"Supported",AND(F681="Supported",D681&lt;&gt;"",E681&lt;&gt;""))),"Yes","No"))</f>
        <v/>
      </c>
    </row>
    <row r="682" spans="11:11">
      <c r="K682" s="11">
        <f>IF(OR(A682="",C682=""),"",IF(AND(COUNTIF(Responses!$A$6:$A$205,A682)=1,B682&lt;&gt;"",COUNTIFS($A$6:$A$2005,A682,$B$6:$B$2005,B682)=1,OR(F682="Supported",F682="Unsupported",F682="Contradicted"),OR(G682="Supported",G682="Wrong citation",G682="Missing citation"),OR(H682="Yes",H682="No"),I682&lt;&gt;"",OR(F682&lt;&gt;"Supported",E682&lt;&gt;""),OR(G682&lt;&gt;"Supported",AND(F682="Supported",D682&lt;&gt;"",E682&lt;&gt;""))),"Yes","No"))</f>
        <v/>
      </c>
    </row>
    <row r="683" spans="11:11">
      <c r="K683" s="11">
        <f>IF(OR(A683="",C683=""),"",IF(AND(COUNTIF(Responses!$A$6:$A$205,A683)=1,B683&lt;&gt;"",COUNTIFS($A$6:$A$2005,A683,$B$6:$B$2005,B683)=1,OR(F683="Supported",F683="Unsupported",F683="Contradicted"),OR(G683="Supported",G683="Wrong citation",G683="Missing citation"),OR(H683="Yes",H683="No"),I683&lt;&gt;"",OR(F683&lt;&gt;"Supported",E683&lt;&gt;""),OR(G683&lt;&gt;"Supported",AND(F683="Supported",D683&lt;&gt;"",E683&lt;&gt;""))),"Yes","No"))</f>
        <v/>
      </c>
    </row>
    <row r="684" spans="11:11">
      <c r="K684" s="11">
        <f>IF(OR(A684="",C684=""),"",IF(AND(COUNTIF(Responses!$A$6:$A$205,A684)=1,B684&lt;&gt;"",COUNTIFS($A$6:$A$2005,A684,$B$6:$B$2005,B684)=1,OR(F684="Supported",F684="Unsupported",F684="Contradicted"),OR(G684="Supported",G684="Wrong citation",G684="Missing citation"),OR(H684="Yes",H684="No"),I684&lt;&gt;"",OR(F684&lt;&gt;"Supported",E684&lt;&gt;""),OR(G684&lt;&gt;"Supported",AND(F684="Supported",D684&lt;&gt;"",E684&lt;&gt;""))),"Yes","No"))</f>
        <v/>
      </c>
    </row>
    <row r="685" spans="11:11">
      <c r="K685" s="11">
        <f>IF(OR(A685="",C685=""),"",IF(AND(COUNTIF(Responses!$A$6:$A$205,A685)=1,B685&lt;&gt;"",COUNTIFS($A$6:$A$2005,A685,$B$6:$B$2005,B685)=1,OR(F685="Supported",F685="Unsupported",F685="Contradicted"),OR(G685="Supported",G685="Wrong citation",G685="Missing citation"),OR(H685="Yes",H685="No"),I685&lt;&gt;"",OR(F685&lt;&gt;"Supported",E685&lt;&gt;""),OR(G685&lt;&gt;"Supported",AND(F685="Supported",D685&lt;&gt;"",E685&lt;&gt;""))),"Yes","No"))</f>
        <v/>
      </c>
    </row>
    <row r="686" spans="11:11">
      <c r="K686" s="11">
        <f>IF(OR(A686="",C686=""),"",IF(AND(COUNTIF(Responses!$A$6:$A$205,A686)=1,B686&lt;&gt;"",COUNTIFS($A$6:$A$2005,A686,$B$6:$B$2005,B686)=1,OR(F686="Supported",F686="Unsupported",F686="Contradicted"),OR(G686="Supported",G686="Wrong citation",G686="Missing citation"),OR(H686="Yes",H686="No"),I686&lt;&gt;"",OR(F686&lt;&gt;"Supported",E686&lt;&gt;""),OR(G686&lt;&gt;"Supported",AND(F686="Supported",D686&lt;&gt;"",E686&lt;&gt;""))),"Yes","No"))</f>
        <v/>
      </c>
    </row>
    <row r="687" spans="11:11">
      <c r="K687" s="11">
        <f>IF(OR(A687="",C687=""),"",IF(AND(COUNTIF(Responses!$A$6:$A$205,A687)=1,B687&lt;&gt;"",COUNTIFS($A$6:$A$2005,A687,$B$6:$B$2005,B687)=1,OR(F687="Supported",F687="Unsupported",F687="Contradicted"),OR(G687="Supported",G687="Wrong citation",G687="Missing citation"),OR(H687="Yes",H687="No"),I687&lt;&gt;"",OR(F687&lt;&gt;"Supported",E687&lt;&gt;""),OR(G687&lt;&gt;"Supported",AND(F687="Supported",D687&lt;&gt;"",E687&lt;&gt;""))),"Yes","No"))</f>
        <v/>
      </c>
    </row>
    <row r="688" spans="11:11">
      <c r="K688" s="11">
        <f>IF(OR(A688="",C688=""),"",IF(AND(COUNTIF(Responses!$A$6:$A$205,A688)=1,B688&lt;&gt;"",COUNTIFS($A$6:$A$2005,A688,$B$6:$B$2005,B688)=1,OR(F688="Supported",F688="Unsupported",F688="Contradicted"),OR(G688="Supported",G688="Wrong citation",G688="Missing citation"),OR(H688="Yes",H688="No"),I688&lt;&gt;"",OR(F688&lt;&gt;"Supported",E688&lt;&gt;""),OR(G688&lt;&gt;"Supported",AND(F688="Supported",D688&lt;&gt;"",E688&lt;&gt;""))),"Yes","No"))</f>
        <v/>
      </c>
    </row>
    <row r="689" spans="11:11">
      <c r="K689" s="11">
        <f>IF(OR(A689="",C689=""),"",IF(AND(COUNTIF(Responses!$A$6:$A$205,A689)=1,B689&lt;&gt;"",COUNTIFS($A$6:$A$2005,A689,$B$6:$B$2005,B689)=1,OR(F689="Supported",F689="Unsupported",F689="Contradicted"),OR(G689="Supported",G689="Wrong citation",G689="Missing citation"),OR(H689="Yes",H689="No"),I689&lt;&gt;"",OR(F689&lt;&gt;"Supported",E689&lt;&gt;""),OR(G689&lt;&gt;"Supported",AND(F689="Supported",D689&lt;&gt;"",E689&lt;&gt;""))),"Yes","No"))</f>
        <v/>
      </c>
    </row>
    <row r="690" spans="11:11">
      <c r="K690" s="11">
        <f>IF(OR(A690="",C690=""),"",IF(AND(COUNTIF(Responses!$A$6:$A$205,A690)=1,B690&lt;&gt;"",COUNTIFS($A$6:$A$2005,A690,$B$6:$B$2005,B690)=1,OR(F690="Supported",F690="Unsupported",F690="Contradicted"),OR(G690="Supported",G690="Wrong citation",G690="Missing citation"),OR(H690="Yes",H690="No"),I690&lt;&gt;"",OR(F690&lt;&gt;"Supported",E690&lt;&gt;""),OR(G690&lt;&gt;"Supported",AND(F690="Supported",D690&lt;&gt;"",E690&lt;&gt;""))),"Yes","No"))</f>
        <v/>
      </c>
    </row>
    <row r="691" spans="11:11">
      <c r="K691" s="11">
        <f>IF(OR(A691="",C691=""),"",IF(AND(COUNTIF(Responses!$A$6:$A$205,A691)=1,B691&lt;&gt;"",COUNTIFS($A$6:$A$2005,A691,$B$6:$B$2005,B691)=1,OR(F691="Supported",F691="Unsupported",F691="Contradicted"),OR(G691="Supported",G691="Wrong citation",G691="Missing citation"),OR(H691="Yes",H691="No"),I691&lt;&gt;"",OR(F691&lt;&gt;"Supported",E691&lt;&gt;""),OR(G691&lt;&gt;"Supported",AND(F691="Supported",D691&lt;&gt;"",E691&lt;&gt;""))),"Yes","No"))</f>
        <v/>
      </c>
    </row>
    <row r="692" spans="11:11">
      <c r="K692" s="11">
        <f>IF(OR(A692="",C692=""),"",IF(AND(COUNTIF(Responses!$A$6:$A$205,A692)=1,B692&lt;&gt;"",COUNTIFS($A$6:$A$2005,A692,$B$6:$B$2005,B692)=1,OR(F692="Supported",F692="Unsupported",F692="Contradicted"),OR(G692="Supported",G692="Wrong citation",G692="Missing citation"),OR(H692="Yes",H692="No"),I692&lt;&gt;"",OR(F692&lt;&gt;"Supported",E692&lt;&gt;""),OR(G692&lt;&gt;"Supported",AND(F692="Supported",D692&lt;&gt;"",E692&lt;&gt;""))),"Yes","No"))</f>
        <v/>
      </c>
    </row>
    <row r="693" spans="11:11">
      <c r="K693" s="11">
        <f>IF(OR(A693="",C693=""),"",IF(AND(COUNTIF(Responses!$A$6:$A$205,A693)=1,B693&lt;&gt;"",COUNTIFS($A$6:$A$2005,A693,$B$6:$B$2005,B693)=1,OR(F693="Supported",F693="Unsupported",F693="Contradicted"),OR(G693="Supported",G693="Wrong citation",G693="Missing citation"),OR(H693="Yes",H693="No"),I693&lt;&gt;"",OR(F693&lt;&gt;"Supported",E693&lt;&gt;""),OR(G693&lt;&gt;"Supported",AND(F693="Supported",D693&lt;&gt;"",E693&lt;&gt;""))),"Yes","No"))</f>
        <v/>
      </c>
    </row>
    <row r="694" spans="11:11">
      <c r="K694" s="11">
        <f>IF(OR(A694="",C694=""),"",IF(AND(COUNTIF(Responses!$A$6:$A$205,A694)=1,B694&lt;&gt;"",COUNTIFS($A$6:$A$2005,A694,$B$6:$B$2005,B694)=1,OR(F694="Supported",F694="Unsupported",F694="Contradicted"),OR(G694="Supported",G694="Wrong citation",G694="Missing citation"),OR(H694="Yes",H694="No"),I694&lt;&gt;"",OR(F694&lt;&gt;"Supported",E694&lt;&gt;""),OR(G694&lt;&gt;"Supported",AND(F694="Supported",D694&lt;&gt;"",E694&lt;&gt;""))),"Yes","No"))</f>
        <v/>
      </c>
    </row>
    <row r="695" spans="11:11">
      <c r="K695" s="11">
        <f>IF(OR(A695="",C695=""),"",IF(AND(COUNTIF(Responses!$A$6:$A$205,A695)=1,B695&lt;&gt;"",COUNTIFS($A$6:$A$2005,A695,$B$6:$B$2005,B695)=1,OR(F695="Supported",F695="Unsupported",F695="Contradicted"),OR(G695="Supported",G695="Wrong citation",G695="Missing citation"),OR(H695="Yes",H695="No"),I695&lt;&gt;"",OR(F695&lt;&gt;"Supported",E695&lt;&gt;""),OR(G695&lt;&gt;"Supported",AND(F695="Supported",D695&lt;&gt;"",E695&lt;&gt;""))),"Yes","No"))</f>
        <v/>
      </c>
    </row>
    <row r="696" spans="11:11">
      <c r="K696" s="11">
        <f>IF(OR(A696="",C696=""),"",IF(AND(COUNTIF(Responses!$A$6:$A$205,A696)=1,B696&lt;&gt;"",COUNTIFS($A$6:$A$2005,A696,$B$6:$B$2005,B696)=1,OR(F696="Supported",F696="Unsupported",F696="Contradicted"),OR(G696="Supported",G696="Wrong citation",G696="Missing citation"),OR(H696="Yes",H696="No"),I696&lt;&gt;"",OR(F696&lt;&gt;"Supported",E696&lt;&gt;""),OR(G696&lt;&gt;"Supported",AND(F696="Supported",D696&lt;&gt;"",E696&lt;&gt;""))),"Yes","No"))</f>
        <v/>
      </c>
    </row>
    <row r="697" spans="11:11">
      <c r="K697" s="11">
        <f>IF(OR(A697="",C697=""),"",IF(AND(COUNTIF(Responses!$A$6:$A$205,A697)=1,B697&lt;&gt;"",COUNTIFS($A$6:$A$2005,A697,$B$6:$B$2005,B697)=1,OR(F697="Supported",F697="Unsupported",F697="Contradicted"),OR(G697="Supported",G697="Wrong citation",G697="Missing citation"),OR(H697="Yes",H697="No"),I697&lt;&gt;"",OR(F697&lt;&gt;"Supported",E697&lt;&gt;""),OR(G697&lt;&gt;"Supported",AND(F697="Supported",D697&lt;&gt;"",E697&lt;&gt;""))),"Yes","No"))</f>
        <v/>
      </c>
    </row>
    <row r="698" spans="11:11">
      <c r="K698" s="11">
        <f>IF(OR(A698="",C698=""),"",IF(AND(COUNTIF(Responses!$A$6:$A$205,A698)=1,B698&lt;&gt;"",COUNTIFS($A$6:$A$2005,A698,$B$6:$B$2005,B698)=1,OR(F698="Supported",F698="Unsupported",F698="Contradicted"),OR(G698="Supported",G698="Wrong citation",G698="Missing citation"),OR(H698="Yes",H698="No"),I698&lt;&gt;"",OR(F698&lt;&gt;"Supported",E698&lt;&gt;""),OR(G698&lt;&gt;"Supported",AND(F698="Supported",D698&lt;&gt;"",E698&lt;&gt;""))),"Yes","No"))</f>
        <v/>
      </c>
    </row>
    <row r="699" spans="11:11">
      <c r="K699" s="11">
        <f>IF(OR(A699="",C699=""),"",IF(AND(COUNTIF(Responses!$A$6:$A$205,A699)=1,B699&lt;&gt;"",COUNTIFS($A$6:$A$2005,A699,$B$6:$B$2005,B699)=1,OR(F699="Supported",F699="Unsupported",F699="Contradicted"),OR(G699="Supported",G699="Wrong citation",G699="Missing citation"),OR(H699="Yes",H699="No"),I699&lt;&gt;"",OR(F699&lt;&gt;"Supported",E699&lt;&gt;""),OR(G699&lt;&gt;"Supported",AND(F699="Supported",D699&lt;&gt;"",E699&lt;&gt;""))),"Yes","No"))</f>
        <v/>
      </c>
    </row>
    <row r="700" spans="11:11">
      <c r="K700" s="11">
        <f>IF(OR(A700="",C700=""),"",IF(AND(COUNTIF(Responses!$A$6:$A$205,A700)=1,B700&lt;&gt;"",COUNTIFS($A$6:$A$2005,A700,$B$6:$B$2005,B700)=1,OR(F700="Supported",F700="Unsupported",F700="Contradicted"),OR(G700="Supported",G700="Wrong citation",G700="Missing citation"),OR(H700="Yes",H700="No"),I700&lt;&gt;"",OR(F700&lt;&gt;"Supported",E700&lt;&gt;""),OR(G700&lt;&gt;"Supported",AND(F700="Supported",D700&lt;&gt;"",E700&lt;&gt;""))),"Yes","No"))</f>
        <v/>
      </c>
    </row>
    <row r="701" spans="11:11">
      <c r="K701" s="11">
        <f>IF(OR(A701="",C701=""),"",IF(AND(COUNTIF(Responses!$A$6:$A$205,A701)=1,B701&lt;&gt;"",COUNTIFS($A$6:$A$2005,A701,$B$6:$B$2005,B701)=1,OR(F701="Supported",F701="Unsupported",F701="Contradicted"),OR(G701="Supported",G701="Wrong citation",G701="Missing citation"),OR(H701="Yes",H701="No"),I701&lt;&gt;"",OR(F701&lt;&gt;"Supported",E701&lt;&gt;""),OR(G701&lt;&gt;"Supported",AND(F701="Supported",D701&lt;&gt;"",E701&lt;&gt;""))),"Yes","No"))</f>
        <v/>
      </c>
    </row>
    <row r="702" spans="11:11">
      <c r="K702" s="11">
        <f>IF(OR(A702="",C702=""),"",IF(AND(COUNTIF(Responses!$A$6:$A$205,A702)=1,B702&lt;&gt;"",COUNTIFS($A$6:$A$2005,A702,$B$6:$B$2005,B702)=1,OR(F702="Supported",F702="Unsupported",F702="Contradicted"),OR(G702="Supported",G702="Wrong citation",G702="Missing citation"),OR(H702="Yes",H702="No"),I702&lt;&gt;"",OR(F702&lt;&gt;"Supported",E702&lt;&gt;""),OR(G702&lt;&gt;"Supported",AND(F702="Supported",D702&lt;&gt;"",E702&lt;&gt;""))),"Yes","No"))</f>
        <v/>
      </c>
    </row>
    <row r="703" spans="11:11">
      <c r="K703" s="11">
        <f>IF(OR(A703="",C703=""),"",IF(AND(COUNTIF(Responses!$A$6:$A$205,A703)=1,B703&lt;&gt;"",COUNTIFS($A$6:$A$2005,A703,$B$6:$B$2005,B703)=1,OR(F703="Supported",F703="Unsupported",F703="Contradicted"),OR(G703="Supported",G703="Wrong citation",G703="Missing citation"),OR(H703="Yes",H703="No"),I703&lt;&gt;"",OR(F703&lt;&gt;"Supported",E703&lt;&gt;""),OR(G703&lt;&gt;"Supported",AND(F703="Supported",D703&lt;&gt;"",E703&lt;&gt;""))),"Yes","No"))</f>
        <v/>
      </c>
    </row>
    <row r="704" spans="11:11">
      <c r="K704" s="11">
        <f>IF(OR(A704="",C704=""),"",IF(AND(COUNTIF(Responses!$A$6:$A$205,A704)=1,B704&lt;&gt;"",COUNTIFS($A$6:$A$2005,A704,$B$6:$B$2005,B704)=1,OR(F704="Supported",F704="Unsupported",F704="Contradicted"),OR(G704="Supported",G704="Wrong citation",G704="Missing citation"),OR(H704="Yes",H704="No"),I704&lt;&gt;"",OR(F704&lt;&gt;"Supported",E704&lt;&gt;""),OR(G704&lt;&gt;"Supported",AND(F704="Supported",D704&lt;&gt;"",E704&lt;&gt;""))),"Yes","No"))</f>
        <v/>
      </c>
    </row>
    <row r="705" spans="11:11">
      <c r="K705" s="11">
        <f>IF(OR(A705="",C705=""),"",IF(AND(COUNTIF(Responses!$A$6:$A$205,A705)=1,B705&lt;&gt;"",COUNTIFS($A$6:$A$2005,A705,$B$6:$B$2005,B705)=1,OR(F705="Supported",F705="Unsupported",F705="Contradicted"),OR(G705="Supported",G705="Wrong citation",G705="Missing citation"),OR(H705="Yes",H705="No"),I705&lt;&gt;"",OR(F705&lt;&gt;"Supported",E705&lt;&gt;""),OR(G705&lt;&gt;"Supported",AND(F705="Supported",D705&lt;&gt;"",E705&lt;&gt;""))),"Yes","No"))</f>
        <v/>
      </c>
    </row>
    <row r="706" spans="11:11">
      <c r="K706" s="11">
        <f>IF(OR(A706="",C706=""),"",IF(AND(COUNTIF(Responses!$A$6:$A$205,A706)=1,B706&lt;&gt;"",COUNTIFS($A$6:$A$2005,A706,$B$6:$B$2005,B706)=1,OR(F706="Supported",F706="Unsupported",F706="Contradicted"),OR(G706="Supported",G706="Wrong citation",G706="Missing citation"),OR(H706="Yes",H706="No"),I706&lt;&gt;"",OR(F706&lt;&gt;"Supported",E706&lt;&gt;""),OR(G706&lt;&gt;"Supported",AND(F706="Supported",D706&lt;&gt;"",E706&lt;&gt;""))),"Yes","No"))</f>
        <v/>
      </c>
    </row>
    <row r="707" spans="11:11">
      <c r="K707" s="11">
        <f>IF(OR(A707="",C707=""),"",IF(AND(COUNTIF(Responses!$A$6:$A$205,A707)=1,B707&lt;&gt;"",COUNTIFS($A$6:$A$2005,A707,$B$6:$B$2005,B707)=1,OR(F707="Supported",F707="Unsupported",F707="Contradicted"),OR(G707="Supported",G707="Wrong citation",G707="Missing citation"),OR(H707="Yes",H707="No"),I707&lt;&gt;"",OR(F707&lt;&gt;"Supported",E707&lt;&gt;""),OR(G707&lt;&gt;"Supported",AND(F707="Supported",D707&lt;&gt;"",E707&lt;&gt;""))),"Yes","No"))</f>
        <v/>
      </c>
    </row>
    <row r="708" spans="11:11">
      <c r="K708" s="11">
        <f>IF(OR(A708="",C708=""),"",IF(AND(COUNTIF(Responses!$A$6:$A$205,A708)=1,B708&lt;&gt;"",COUNTIFS($A$6:$A$2005,A708,$B$6:$B$2005,B708)=1,OR(F708="Supported",F708="Unsupported",F708="Contradicted"),OR(G708="Supported",G708="Wrong citation",G708="Missing citation"),OR(H708="Yes",H708="No"),I708&lt;&gt;"",OR(F708&lt;&gt;"Supported",E708&lt;&gt;""),OR(G708&lt;&gt;"Supported",AND(F708="Supported",D708&lt;&gt;"",E708&lt;&gt;""))),"Yes","No"))</f>
        <v/>
      </c>
    </row>
    <row r="709" spans="11:11">
      <c r="K709" s="11">
        <f>IF(OR(A709="",C709=""),"",IF(AND(COUNTIF(Responses!$A$6:$A$205,A709)=1,B709&lt;&gt;"",COUNTIFS($A$6:$A$2005,A709,$B$6:$B$2005,B709)=1,OR(F709="Supported",F709="Unsupported",F709="Contradicted"),OR(G709="Supported",G709="Wrong citation",G709="Missing citation"),OR(H709="Yes",H709="No"),I709&lt;&gt;"",OR(F709&lt;&gt;"Supported",E709&lt;&gt;""),OR(G709&lt;&gt;"Supported",AND(F709="Supported",D709&lt;&gt;"",E709&lt;&gt;""))),"Yes","No"))</f>
        <v/>
      </c>
    </row>
    <row r="710" spans="11:11">
      <c r="K710" s="11">
        <f>IF(OR(A710="",C710=""),"",IF(AND(COUNTIF(Responses!$A$6:$A$205,A710)=1,B710&lt;&gt;"",COUNTIFS($A$6:$A$2005,A710,$B$6:$B$2005,B710)=1,OR(F710="Supported",F710="Unsupported",F710="Contradicted"),OR(G710="Supported",G710="Wrong citation",G710="Missing citation"),OR(H710="Yes",H710="No"),I710&lt;&gt;"",OR(F710&lt;&gt;"Supported",E710&lt;&gt;""),OR(G710&lt;&gt;"Supported",AND(F710="Supported",D710&lt;&gt;"",E710&lt;&gt;""))),"Yes","No"))</f>
        <v/>
      </c>
    </row>
    <row r="711" spans="11:11">
      <c r="K711" s="11">
        <f>IF(OR(A711="",C711=""),"",IF(AND(COUNTIF(Responses!$A$6:$A$205,A711)=1,B711&lt;&gt;"",COUNTIFS($A$6:$A$2005,A711,$B$6:$B$2005,B711)=1,OR(F711="Supported",F711="Unsupported",F711="Contradicted"),OR(G711="Supported",G711="Wrong citation",G711="Missing citation"),OR(H711="Yes",H711="No"),I711&lt;&gt;"",OR(F711&lt;&gt;"Supported",E711&lt;&gt;""),OR(G711&lt;&gt;"Supported",AND(F711="Supported",D711&lt;&gt;"",E711&lt;&gt;""))),"Yes","No"))</f>
        <v/>
      </c>
    </row>
    <row r="712" spans="11:11">
      <c r="K712" s="11">
        <f>IF(OR(A712="",C712=""),"",IF(AND(COUNTIF(Responses!$A$6:$A$205,A712)=1,B712&lt;&gt;"",COUNTIFS($A$6:$A$2005,A712,$B$6:$B$2005,B712)=1,OR(F712="Supported",F712="Unsupported",F712="Contradicted"),OR(G712="Supported",G712="Wrong citation",G712="Missing citation"),OR(H712="Yes",H712="No"),I712&lt;&gt;"",OR(F712&lt;&gt;"Supported",E712&lt;&gt;""),OR(G712&lt;&gt;"Supported",AND(F712="Supported",D712&lt;&gt;"",E712&lt;&gt;""))),"Yes","No"))</f>
        <v/>
      </c>
    </row>
    <row r="713" spans="11:11">
      <c r="K713" s="11">
        <f>IF(OR(A713="",C713=""),"",IF(AND(COUNTIF(Responses!$A$6:$A$205,A713)=1,B713&lt;&gt;"",COUNTIFS($A$6:$A$2005,A713,$B$6:$B$2005,B713)=1,OR(F713="Supported",F713="Unsupported",F713="Contradicted"),OR(G713="Supported",G713="Wrong citation",G713="Missing citation"),OR(H713="Yes",H713="No"),I713&lt;&gt;"",OR(F713&lt;&gt;"Supported",E713&lt;&gt;""),OR(G713&lt;&gt;"Supported",AND(F713="Supported",D713&lt;&gt;"",E713&lt;&gt;""))),"Yes","No"))</f>
        <v/>
      </c>
    </row>
    <row r="714" spans="11:11">
      <c r="K714" s="11">
        <f>IF(OR(A714="",C714=""),"",IF(AND(COUNTIF(Responses!$A$6:$A$205,A714)=1,B714&lt;&gt;"",COUNTIFS($A$6:$A$2005,A714,$B$6:$B$2005,B714)=1,OR(F714="Supported",F714="Unsupported",F714="Contradicted"),OR(G714="Supported",G714="Wrong citation",G714="Missing citation"),OR(H714="Yes",H714="No"),I714&lt;&gt;"",OR(F714&lt;&gt;"Supported",E714&lt;&gt;""),OR(G714&lt;&gt;"Supported",AND(F714="Supported",D714&lt;&gt;"",E714&lt;&gt;""))),"Yes","No"))</f>
        <v/>
      </c>
    </row>
    <row r="715" spans="11:11">
      <c r="K715" s="11">
        <f>IF(OR(A715="",C715=""),"",IF(AND(COUNTIF(Responses!$A$6:$A$205,A715)=1,B715&lt;&gt;"",COUNTIFS($A$6:$A$2005,A715,$B$6:$B$2005,B715)=1,OR(F715="Supported",F715="Unsupported",F715="Contradicted"),OR(G715="Supported",G715="Wrong citation",G715="Missing citation"),OR(H715="Yes",H715="No"),I715&lt;&gt;"",OR(F715&lt;&gt;"Supported",E715&lt;&gt;""),OR(G715&lt;&gt;"Supported",AND(F715="Supported",D715&lt;&gt;"",E715&lt;&gt;""))),"Yes","No"))</f>
        <v/>
      </c>
    </row>
    <row r="716" spans="11:11">
      <c r="K716" s="11">
        <f>IF(OR(A716="",C716=""),"",IF(AND(COUNTIF(Responses!$A$6:$A$205,A716)=1,B716&lt;&gt;"",COUNTIFS($A$6:$A$2005,A716,$B$6:$B$2005,B716)=1,OR(F716="Supported",F716="Unsupported",F716="Contradicted"),OR(G716="Supported",G716="Wrong citation",G716="Missing citation"),OR(H716="Yes",H716="No"),I716&lt;&gt;"",OR(F716&lt;&gt;"Supported",E716&lt;&gt;""),OR(G716&lt;&gt;"Supported",AND(F716="Supported",D716&lt;&gt;"",E716&lt;&gt;""))),"Yes","No"))</f>
        <v/>
      </c>
    </row>
    <row r="717" spans="11:11">
      <c r="K717" s="11">
        <f>IF(OR(A717="",C717=""),"",IF(AND(COUNTIF(Responses!$A$6:$A$205,A717)=1,B717&lt;&gt;"",COUNTIFS($A$6:$A$2005,A717,$B$6:$B$2005,B717)=1,OR(F717="Supported",F717="Unsupported",F717="Contradicted"),OR(G717="Supported",G717="Wrong citation",G717="Missing citation"),OR(H717="Yes",H717="No"),I717&lt;&gt;"",OR(F717&lt;&gt;"Supported",E717&lt;&gt;""),OR(G717&lt;&gt;"Supported",AND(F717="Supported",D717&lt;&gt;"",E717&lt;&gt;""))),"Yes","No"))</f>
        <v/>
      </c>
    </row>
    <row r="718" spans="11:11">
      <c r="K718" s="11">
        <f>IF(OR(A718="",C718=""),"",IF(AND(COUNTIF(Responses!$A$6:$A$205,A718)=1,B718&lt;&gt;"",COUNTIFS($A$6:$A$2005,A718,$B$6:$B$2005,B718)=1,OR(F718="Supported",F718="Unsupported",F718="Contradicted"),OR(G718="Supported",G718="Wrong citation",G718="Missing citation"),OR(H718="Yes",H718="No"),I718&lt;&gt;"",OR(F718&lt;&gt;"Supported",E718&lt;&gt;""),OR(G718&lt;&gt;"Supported",AND(F718="Supported",D718&lt;&gt;"",E718&lt;&gt;""))),"Yes","No"))</f>
        <v/>
      </c>
    </row>
    <row r="719" spans="11:11">
      <c r="K719" s="11">
        <f>IF(OR(A719="",C719=""),"",IF(AND(COUNTIF(Responses!$A$6:$A$205,A719)=1,B719&lt;&gt;"",COUNTIFS($A$6:$A$2005,A719,$B$6:$B$2005,B719)=1,OR(F719="Supported",F719="Unsupported",F719="Contradicted"),OR(G719="Supported",G719="Wrong citation",G719="Missing citation"),OR(H719="Yes",H719="No"),I719&lt;&gt;"",OR(F719&lt;&gt;"Supported",E719&lt;&gt;""),OR(G719&lt;&gt;"Supported",AND(F719="Supported",D719&lt;&gt;"",E719&lt;&gt;""))),"Yes","No"))</f>
        <v/>
      </c>
    </row>
    <row r="720" spans="11:11">
      <c r="K720" s="11">
        <f>IF(OR(A720="",C720=""),"",IF(AND(COUNTIF(Responses!$A$6:$A$205,A720)=1,B720&lt;&gt;"",COUNTIFS($A$6:$A$2005,A720,$B$6:$B$2005,B720)=1,OR(F720="Supported",F720="Unsupported",F720="Contradicted"),OR(G720="Supported",G720="Wrong citation",G720="Missing citation"),OR(H720="Yes",H720="No"),I720&lt;&gt;"",OR(F720&lt;&gt;"Supported",E720&lt;&gt;""),OR(G720&lt;&gt;"Supported",AND(F720="Supported",D720&lt;&gt;"",E720&lt;&gt;""))),"Yes","No"))</f>
        <v/>
      </c>
    </row>
    <row r="721" spans="11:11">
      <c r="K721" s="11">
        <f>IF(OR(A721="",C721=""),"",IF(AND(COUNTIF(Responses!$A$6:$A$205,A721)=1,B721&lt;&gt;"",COUNTIFS($A$6:$A$2005,A721,$B$6:$B$2005,B721)=1,OR(F721="Supported",F721="Unsupported",F721="Contradicted"),OR(G721="Supported",G721="Wrong citation",G721="Missing citation"),OR(H721="Yes",H721="No"),I721&lt;&gt;"",OR(F721&lt;&gt;"Supported",E721&lt;&gt;""),OR(G721&lt;&gt;"Supported",AND(F721="Supported",D721&lt;&gt;"",E721&lt;&gt;""))),"Yes","No"))</f>
        <v/>
      </c>
    </row>
    <row r="722" spans="11:11">
      <c r="K722" s="11">
        <f>IF(OR(A722="",C722=""),"",IF(AND(COUNTIF(Responses!$A$6:$A$205,A722)=1,B722&lt;&gt;"",COUNTIFS($A$6:$A$2005,A722,$B$6:$B$2005,B722)=1,OR(F722="Supported",F722="Unsupported",F722="Contradicted"),OR(G722="Supported",G722="Wrong citation",G722="Missing citation"),OR(H722="Yes",H722="No"),I722&lt;&gt;"",OR(F722&lt;&gt;"Supported",E722&lt;&gt;""),OR(G722&lt;&gt;"Supported",AND(F722="Supported",D722&lt;&gt;"",E722&lt;&gt;""))),"Yes","No"))</f>
        <v/>
      </c>
    </row>
    <row r="723" spans="11:11">
      <c r="K723" s="11">
        <f>IF(OR(A723="",C723=""),"",IF(AND(COUNTIF(Responses!$A$6:$A$205,A723)=1,B723&lt;&gt;"",COUNTIFS($A$6:$A$2005,A723,$B$6:$B$2005,B723)=1,OR(F723="Supported",F723="Unsupported",F723="Contradicted"),OR(G723="Supported",G723="Wrong citation",G723="Missing citation"),OR(H723="Yes",H723="No"),I723&lt;&gt;"",OR(F723&lt;&gt;"Supported",E723&lt;&gt;""),OR(G723&lt;&gt;"Supported",AND(F723="Supported",D723&lt;&gt;"",E723&lt;&gt;""))),"Yes","No"))</f>
        <v/>
      </c>
    </row>
    <row r="724" spans="11:11">
      <c r="K724" s="11">
        <f>IF(OR(A724="",C724=""),"",IF(AND(COUNTIF(Responses!$A$6:$A$205,A724)=1,B724&lt;&gt;"",COUNTIFS($A$6:$A$2005,A724,$B$6:$B$2005,B724)=1,OR(F724="Supported",F724="Unsupported",F724="Contradicted"),OR(G724="Supported",G724="Wrong citation",G724="Missing citation"),OR(H724="Yes",H724="No"),I724&lt;&gt;"",OR(F724&lt;&gt;"Supported",E724&lt;&gt;""),OR(G724&lt;&gt;"Supported",AND(F724="Supported",D724&lt;&gt;"",E724&lt;&gt;""))),"Yes","No"))</f>
        <v/>
      </c>
    </row>
    <row r="725" spans="11:11">
      <c r="K725" s="11">
        <f>IF(OR(A725="",C725=""),"",IF(AND(COUNTIF(Responses!$A$6:$A$205,A725)=1,B725&lt;&gt;"",COUNTIFS($A$6:$A$2005,A725,$B$6:$B$2005,B725)=1,OR(F725="Supported",F725="Unsupported",F725="Contradicted"),OR(G725="Supported",G725="Wrong citation",G725="Missing citation"),OR(H725="Yes",H725="No"),I725&lt;&gt;"",OR(F725&lt;&gt;"Supported",E725&lt;&gt;""),OR(G725&lt;&gt;"Supported",AND(F725="Supported",D725&lt;&gt;"",E725&lt;&gt;""))),"Yes","No"))</f>
        <v/>
      </c>
    </row>
    <row r="726" spans="11:11">
      <c r="K726" s="11">
        <f>IF(OR(A726="",C726=""),"",IF(AND(COUNTIF(Responses!$A$6:$A$205,A726)=1,B726&lt;&gt;"",COUNTIFS($A$6:$A$2005,A726,$B$6:$B$2005,B726)=1,OR(F726="Supported",F726="Unsupported",F726="Contradicted"),OR(G726="Supported",G726="Wrong citation",G726="Missing citation"),OR(H726="Yes",H726="No"),I726&lt;&gt;"",OR(F726&lt;&gt;"Supported",E726&lt;&gt;""),OR(G726&lt;&gt;"Supported",AND(F726="Supported",D726&lt;&gt;"",E726&lt;&gt;""))),"Yes","No"))</f>
        <v/>
      </c>
    </row>
    <row r="727" spans="11:11">
      <c r="K727" s="11">
        <f>IF(OR(A727="",C727=""),"",IF(AND(COUNTIF(Responses!$A$6:$A$205,A727)=1,B727&lt;&gt;"",COUNTIFS($A$6:$A$2005,A727,$B$6:$B$2005,B727)=1,OR(F727="Supported",F727="Unsupported",F727="Contradicted"),OR(G727="Supported",G727="Wrong citation",G727="Missing citation"),OR(H727="Yes",H727="No"),I727&lt;&gt;"",OR(F727&lt;&gt;"Supported",E727&lt;&gt;""),OR(G727&lt;&gt;"Supported",AND(F727="Supported",D727&lt;&gt;"",E727&lt;&gt;""))),"Yes","No"))</f>
        <v/>
      </c>
    </row>
    <row r="728" spans="11:11">
      <c r="K728" s="11">
        <f>IF(OR(A728="",C728=""),"",IF(AND(COUNTIF(Responses!$A$6:$A$205,A728)=1,B728&lt;&gt;"",COUNTIFS($A$6:$A$2005,A728,$B$6:$B$2005,B728)=1,OR(F728="Supported",F728="Unsupported",F728="Contradicted"),OR(G728="Supported",G728="Wrong citation",G728="Missing citation"),OR(H728="Yes",H728="No"),I728&lt;&gt;"",OR(F728&lt;&gt;"Supported",E728&lt;&gt;""),OR(G728&lt;&gt;"Supported",AND(F728="Supported",D728&lt;&gt;"",E728&lt;&gt;""))),"Yes","No"))</f>
        <v/>
      </c>
    </row>
    <row r="729" spans="11:11">
      <c r="K729" s="11">
        <f>IF(OR(A729="",C729=""),"",IF(AND(COUNTIF(Responses!$A$6:$A$205,A729)=1,B729&lt;&gt;"",COUNTIFS($A$6:$A$2005,A729,$B$6:$B$2005,B729)=1,OR(F729="Supported",F729="Unsupported",F729="Contradicted"),OR(G729="Supported",G729="Wrong citation",G729="Missing citation"),OR(H729="Yes",H729="No"),I729&lt;&gt;"",OR(F729&lt;&gt;"Supported",E729&lt;&gt;""),OR(G729&lt;&gt;"Supported",AND(F729="Supported",D729&lt;&gt;"",E729&lt;&gt;""))),"Yes","No"))</f>
        <v/>
      </c>
    </row>
    <row r="730" spans="11:11">
      <c r="K730" s="11">
        <f>IF(OR(A730="",C730=""),"",IF(AND(COUNTIF(Responses!$A$6:$A$205,A730)=1,B730&lt;&gt;"",COUNTIFS($A$6:$A$2005,A730,$B$6:$B$2005,B730)=1,OR(F730="Supported",F730="Unsupported",F730="Contradicted"),OR(G730="Supported",G730="Wrong citation",G730="Missing citation"),OR(H730="Yes",H730="No"),I730&lt;&gt;"",OR(F730&lt;&gt;"Supported",E730&lt;&gt;""),OR(G730&lt;&gt;"Supported",AND(F730="Supported",D730&lt;&gt;"",E730&lt;&gt;""))),"Yes","No"))</f>
        <v/>
      </c>
    </row>
    <row r="731" spans="11:11">
      <c r="K731" s="11">
        <f>IF(OR(A731="",C731=""),"",IF(AND(COUNTIF(Responses!$A$6:$A$205,A731)=1,B731&lt;&gt;"",COUNTIFS($A$6:$A$2005,A731,$B$6:$B$2005,B731)=1,OR(F731="Supported",F731="Unsupported",F731="Contradicted"),OR(G731="Supported",G731="Wrong citation",G731="Missing citation"),OR(H731="Yes",H731="No"),I731&lt;&gt;"",OR(F731&lt;&gt;"Supported",E731&lt;&gt;""),OR(G731&lt;&gt;"Supported",AND(F731="Supported",D731&lt;&gt;"",E731&lt;&gt;""))),"Yes","No"))</f>
        <v/>
      </c>
    </row>
    <row r="732" spans="11:11">
      <c r="K732" s="11">
        <f>IF(OR(A732="",C732=""),"",IF(AND(COUNTIF(Responses!$A$6:$A$205,A732)=1,B732&lt;&gt;"",COUNTIFS($A$6:$A$2005,A732,$B$6:$B$2005,B732)=1,OR(F732="Supported",F732="Unsupported",F732="Contradicted"),OR(G732="Supported",G732="Wrong citation",G732="Missing citation"),OR(H732="Yes",H732="No"),I732&lt;&gt;"",OR(F732&lt;&gt;"Supported",E732&lt;&gt;""),OR(G732&lt;&gt;"Supported",AND(F732="Supported",D732&lt;&gt;"",E732&lt;&gt;""))),"Yes","No"))</f>
        <v/>
      </c>
    </row>
    <row r="733" spans="11:11">
      <c r="K733" s="11">
        <f>IF(OR(A733="",C733=""),"",IF(AND(COUNTIF(Responses!$A$6:$A$205,A733)=1,B733&lt;&gt;"",COUNTIFS($A$6:$A$2005,A733,$B$6:$B$2005,B733)=1,OR(F733="Supported",F733="Unsupported",F733="Contradicted"),OR(G733="Supported",G733="Wrong citation",G733="Missing citation"),OR(H733="Yes",H733="No"),I733&lt;&gt;"",OR(F733&lt;&gt;"Supported",E733&lt;&gt;""),OR(G733&lt;&gt;"Supported",AND(F733="Supported",D733&lt;&gt;"",E733&lt;&gt;""))),"Yes","No"))</f>
        <v/>
      </c>
    </row>
    <row r="734" spans="11:11">
      <c r="K734" s="11">
        <f>IF(OR(A734="",C734=""),"",IF(AND(COUNTIF(Responses!$A$6:$A$205,A734)=1,B734&lt;&gt;"",COUNTIFS($A$6:$A$2005,A734,$B$6:$B$2005,B734)=1,OR(F734="Supported",F734="Unsupported",F734="Contradicted"),OR(G734="Supported",G734="Wrong citation",G734="Missing citation"),OR(H734="Yes",H734="No"),I734&lt;&gt;"",OR(F734&lt;&gt;"Supported",E734&lt;&gt;""),OR(G734&lt;&gt;"Supported",AND(F734="Supported",D734&lt;&gt;"",E734&lt;&gt;""))),"Yes","No"))</f>
        <v/>
      </c>
    </row>
    <row r="735" spans="11:11">
      <c r="K735" s="11">
        <f>IF(OR(A735="",C735=""),"",IF(AND(COUNTIF(Responses!$A$6:$A$205,A735)=1,B735&lt;&gt;"",COUNTIFS($A$6:$A$2005,A735,$B$6:$B$2005,B735)=1,OR(F735="Supported",F735="Unsupported",F735="Contradicted"),OR(G735="Supported",G735="Wrong citation",G735="Missing citation"),OR(H735="Yes",H735="No"),I735&lt;&gt;"",OR(F735&lt;&gt;"Supported",E735&lt;&gt;""),OR(G735&lt;&gt;"Supported",AND(F735="Supported",D735&lt;&gt;"",E735&lt;&gt;""))),"Yes","No"))</f>
        <v/>
      </c>
    </row>
    <row r="736" spans="11:11">
      <c r="K736" s="11">
        <f>IF(OR(A736="",C736=""),"",IF(AND(COUNTIF(Responses!$A$6:$A$205,A736)=1,B736&lt;&gt;"",COUNTIFS($A$6:$A$2005,A736,$B$6:$B$2005,B736)=1,OR(F736="Supported",F736="Unsupported",F736="Contradicted"),OR(G736="Supported",G736="Wrong citation",G736="Missing citation"),OR(H736="Yes",H736="No"),I736&lt;&gt;"",OR(F736&lt;&gt;"Supported",E736&lt;&gt;""),OR(G736&lt;&gt;"Supported",AND(F736="Supported",D736&lt;&gt;"",E736&lt;&gt;""))),"Yes","No"))</f>
        <v/>
      </c>
    </row>
    <row r="737" spans="11:11">
      <c r="K737" s="11">
        <f>IF(OR(A737="",C737=""),"",IF(AND(COUNTIF(Responses!$A$6:$A$205,A737)=1,B737&lt;&gt;"",COUNTIFS($A$6:$A$2005,A737,$B$6:$B$2005,B737)=1,OR(F737="Supported",F737="Unsupported",F737="Contradicted"),OR(G737="Supported",G737="Wrong citation",G737="Missing citation"),OR(H737="Yes",H737="No"),I737&lt;&gt;"",OR(F737&lt;&gt;"Supported",E737&lt;&gt;""),OR(G737&lt;&gt;"Supported",AND(F737="Supported",D737&lt;&gt;"",E737&lt;&gt;""))),"Yes","No"))</f>
        <v/>
      </c>
    </row>
    <row r="738" spans="11:11">
      <c r="K738" s="11">
        <f>IF(OR(A738="",C738=""),"",IF(AND(COUNTIF(Responses!$A$6:$A$205,A738)=1,B738&lt;&gt;"",COUNTIFS($A$6:$A$2005,A738,$B$6:$B$2005,B738)=1,OR(F738="Supported",F738="Unsupported",F738="Contradicted"),OR(G738="Supported",G738="Wrong citation",G738="Missing citation"),OR(H738="Yes",H738="No"),I738&lt;&gt;"",OR(F738&lt;&gt;"Supported",E738&lt;&gt;""),OR(G738&lt;&gt;"Supported",AND(F738="Supported",D738&lt;&gt;"",E738&lt;&gt;""))),"Yes","No"))</f>
        <v/>
      </c>
    </row>
    <row r="739" spans="11:11">
      <c r="K739" s="11">
        <f>IF(OR(A739="",C739=""),"",IF(AND(COUNTIF(Responses!$A$6:$A$205,A739)=1,B739&lt;&gt;"",COUNTIFS($A$6:$A$2005,A739,$B$6:$B$2005,B739)=1,OR(F739="Supported",F739="Unsupported",F739="Contradicted"),OR(G739="Supported",G739="Wrong citation",G739="Missing citation"),OR(H739="Yes",H739="No"),I739&lt;&gt;"",OR(F739&lt;&gt;"Supported",E739&lt;&gt;""),OR(G739&lt;&gt;"Supported",AND(F739="Supported",D739&lt;&gt;"",E739&lt;&gt;""))),"Yes","No"))</f>
        <v/>
      </c>
    </row>
    <row r="740" spans="11:11">
      <c r="K740" s="11">
        <f>IF(OR(A740="",C740=""),"",IF(AND(COUNTIF(Responses!$A$6:$A$205,A740)=1,B740&lt;&gt;"",COUNTIFS($A$6:$A$2005,A740,$B$6:$B$2005,B740)=1,OR(F740="Supported",F740="Unsupported",F740="Contradicted"),OR(G740="Supported",G740="Wrong citation",G740="Missing citation"),OR(H740="Yes",H740="No"),I740&lt;&gt;"",OR(F740&lt;&gt;"Supported",E740&lt;&gt;""),OR(G740&lt;&gt;"Supported",AND(F740="Supported",D740&lt;&gt;"",E740&lt;&gt;""))),"Yes","No"))</f>
        <v/>
      </c>
    </row>
    <row r="741" spans="11:11">
      <c r="K741" s="11">
        <f>IF(OR(A741="",C741=""),"",IF(AND(COUNTIF(Responses!$A$6:$A$205,A741)=1,B741&lt;&gt;"",COUNTIFS($A$6:$A$2005,A741,$B$6:$B$2005,B741)=1,OR(F741="Supported",F741="Unsupported",F741="Contradicted"),OR(G741="Supported",G741="Wrong citation",G741="Missing citation"),OR(H741="Yes",H741="No"),I741&lt;&gt;"",OR(F741&lt;&gt;"Supported",E741&lt;&gt;""),OR(G741&lt;&gt;"Supported",AND(F741="Supported",D741&lt;&gt;"",E741&lt;&gt;""))),"Yes","No"))</f>
        <v/>
      </c>
    </row>
    <row r="742" spans="11:11">
      <c r="K742" s="11">
        <f>IF(OR(A742="",C742=""),"",IF(AND(COUNTIF(Responses!$A$6:$A$205,A742)=1,B742&lt;&gt;"",COUNTIFS($A$6:$A$2005,A742,$B$6:$B$2005,B742)=1,OR(F742="Supported",F742="Unsupported",F742="Contradicted"),OR(G742="Supported",G742="Wrong citation",G742="Missing citation"),OR(H742="Yes",H742="No"),I742&lt;&gt;"",OR(F742&lt;&gt;"Supported",E742&lt;&gt;""),OR(G742&lt;&gt;"Supported",AND(F742="Supported",D742&lt;&gt;"",E742&lt;&gt;""))),"Yes","No"))</f>
        <v/>
      </c>
    </row>
    <row r="743" spans="11:11">
      <c r="K743" s="11">
        <f>IF(OR(A743="",C743=""),"",IF(AND(COUNTIF(Responses!$A$6:$A$205,A743)=1,B743&lt;&gt;"",COUNTIFS($A$6:$A$2005,A743,$B$6:$B$2005,B743)=1,OR(F743="Supported",F743="Unsupported",F743="Contradicted"),OR(G743="Supported",G743="Wrong citation",G743="Missing citation"),OR(H743="Yes",H743="No"),I743&lt;&gt;"",OR(F743&lt;&gt;"Supported",E743&lt;&gt;""),OR(G743&lt;&gt;"Supported",AND(F743="Supported",D743&lt;&gt;"",E743&lt;&gt;""))),"Yes","No"))</f>
        <v/>
      </c>
    </row>
    <row r="744" spans="11:11">
      <c r="K744" s="11">
        <f>IF(OR(A744="",C744=""),"",IF(AND(COUNTIF(Responses!$A$6:$A$205,A744)=1,B744&lt;&gt;"",COUNTIFS($A$6:$A$2005,A744,$B$6:$B$2005,B744)=1,OR(F744="Supported",F744="Unsupported",F744="Contradicted"),OR(G744="Supported",G744="Wrong citation",G744="Missing citation"),OR(H744="Yes",H744="No"),I744&lt;&gt;"",OR(F744&lt;&gt;"Supported",E744&lt;&gt;""),OR(G744&lt;&gt;"Supported",AND(F744="Supported",D744&lt;&gt;"",E744&lt;&gt;""))),"Yes","No"))</f>
        <v/>
      </c>
    </row>
    <row r="745" spans="11:11">
      <c r="K745" s="11">
        <f>IF(OR(A745="",C745=""),"",IF(AND(COUNTIF(Responses!$A$6:$A$205,A745)=1,B745&lt;&gt;"",COUNTIFS($A$6:$A$2005,A745,$B$6:$B$2005,B745)=1,OR(F745="Supported",F745="Unsupported",F745="Contradicted"),OR(G745="Supported",G745="Wrong citation",G745="Missing citation"),OR(H745="Yes",H745="No"),I745&lt;&gt;"",OR(F745&lt;&gt;"Supported",E745&lt;&gt;""),OR(G745&lt;&gt;"Supported",AND(F745="Supported",D745&lt;&gt;"",E745&lt;&gt;""))),"Yes","No"))</f>
        <v/>
      </c>
    </row>
    <row r="746" spans="11:11">
      <c r="K746" s="11">
        <f>IF(OR(A746="",C746=""),"",IF(AND(COUNTIF(Responses!$A$6:$A$205,A746)=1,B746&lt;&gt;"",COUNTIFS($A$6:$A$2005,A746,$B$6:$B$2005,B746)=1,OR(F746="Supported",F746="Unsupported",F746="Contradicted"),OR(G746="Supported",G746="Wrong citation",G746="Missing citation"),OR(H746="Yes",H746="No"),I746&lt;&gt;"",OR(F746&lt;&gt;"Supported",E746&lt;&gt;""),OR(G746&lt;&gt;"Supported",AND(F746="Supported",D746&lt;&gt;"",E746&lt;&gt;""))),"Yes","No"))</f>
        <v/>
      </c>
    </row>
    <row r="747" spans="11:11">
      <c r="K747" s="11">
        <f>IF(OR(A747="",C747=""),"",IF(AND(COUNTIF(Responses!$A$6:$A$205,A747)=1,B747&lt;&gt;"",COUNTIFS($A$6:$A$2005,A747,$B$6:$B$2005,B747)=1,OR(F747="Supported",F747="Unsupported",F747="Contradicted"),OR(G747="Supported",G747="Wrong citation",G747="Missing citation"),OR(H747="Yes",H747="No"),I747&lt;&gt;"",OR(F747&lt;&gt;"Supported",E747&lt;&gt;""),OR(G747&lt;&gt;"Supported",AND(F747="Supported",D747&lt;&gt;"",E747&lt;&gt;""))),"Yes","No"))</f>
        <v/>
      </c>
    </row>
    <row r="748" spans="11:11">
      <c r="K748" s="11">
        <f>IF(OR(A748="",C748=""),"",IF(AND(COUNTIF(Responses!$A$6:$A$205,A748)=1,B748&lt;&gt;"",COUNTIFS($A$6:$A$2005,A748,$B$6:$B$2005,B748)=1,OR(F748="Supported",F748="Unsupported",F748="Contradicted"),OR(G748="Supported",G748="Wrong citation",G748="Missing citation"),OR(H748="Yes",H748="No"),I748&lt;&gt;"",OR(F748&lt;&gt;"Supported",E748&lt;&gt;""),OR(G748&lt;&gt;"Supported",AND(F748="Supported",D748&lt;&gt;"",E748&lt;&gt;""))),"Yes","No"))</f>
        <v/>
      </c>
    </row>
    <row r="749" spans="11:11">
      <c r="K749" s="11">
        <f>IF(OR(A749="",C749=""),"",IF(AND(COUNTIF(Responses!$A$6:$A$205,A749)=1,B749&lt;&gt;"",COUNTIFS($A$6:$A$2005,A749,$B$6:$B$2005,B749)=1,OR(F749="Supported",F749="Unsupported",F749="Contradicted"),OR(G749="Supported",G749="Wrong citation",G749="Missing citation"),OR(H749="Yes",H749="No"),I749&lt;&gt;"",OR(F749&lt;&gt;"Supported",E749&lt;&gt;""),OR(G749&lt;&gt;"Supported",AND(F749="Supported",D749&lt;&gt;"",E749&lt;&gt;""))),"Yes","No"))</f>
        <v/>
      </c>
    </row>
    <row r="750" spans="11:11">
      <c r="K750" s="11">
        <f>IF(OR(A750="",C750=""),"",IF(AND(COUNTIF(Responses!$A$6:$A$205,A750)=1,B750&lt;&gt;"",COUNTIFS($A$6:$A$2005,A750,$B$6:$B$2005,B750)=1,OR(F750="Supported",F750="Unsupported",F750="Contradicted"),OR(G750="Supported",G750="Wrong citation",G750="Missing citation"),OR(H750="Yes",H750="No"),I750&lt;&gt;"",OR(F750&lt;&gt;"Supported",E750&lt;&gt;""),OR(G750&lt;&gt;"Supported",AND(F750="Supported",D750&lt;&gt;"",E750&lt;&gt;""))),"Yes","No"))</f>
        <v/>
      </c>
    </row>
    <row r="751" spans="11:11">
      <c r="K751" s="11">
        <f>IF(OR(A751="",C751=""),"",IF(AND(COUNTIF(Responses!$A$6:$A$205,A751)=1,B751&lt;&gt;"",COUNTIFS($A$6:$A$2005,A751,$B$6:$B$2005,B751)=1,OR(F751="Supported",F751="Unsupported",F751="Contradicted"),OR(G751="Supported",G751="Wrong citation",G751="Missing citation"),OR(H751="Yes",H751="No"),I751&lt;&gt;"",OR(F751&lt;&gt;"Supported",E751&lt;&gt;""),OR(G751&lt;&gt;"Supported",AND(F751="Supported",D751&lt;&gt;"",E751&lt;&gt;""))),"Yes","No"))</f>
        <v/>
      </c>
    </row>
    <row r="752" spans="11:11">
      <c r="K752" s="11">
        <f>IF(OR(A752="",C752=""),"",IF(AND(COUNTIF(Responses!$A$6:$A$205,A752)=1,B752&lt;&gt;"",COUNTIFS($A$6:$A$2005,A752,$B$6:$B$2005,B752)=1,OR(F752="Supported",F752="Unsupported",F752="Contradicted"),OR(G752="Supported",G752="Wrong citation",G752="Missing citation"),OR(H752="Yes",H752="No"),I752&lt;&gt;"",OR(F752&lt;&gt;"Supported",E752&lt;&gt;""),OR(G752&lt;&gt;"Supported",AND(F752="Supported",D752&lt;&gt;"",E752&lt;&gt;""))),"Yes","No"))</f>
        <v/>
      </c>
    </row>
    <row r="753" spans="11:11">
      <c r="K753" s="11">
        <f>IF(OR(A753="",C753=""),"",IF(AND(COUNTIF(Responses!$A$6:$A$205,A753)=1,B753&lt;&gt;"",COUNTIFS($A$6:$A$2005,A753,$B$6:$B$2005,B753)=1,OR(F753="Supported",F753="Unsupported",F753="Contradicted"),OR(G753="Supported",G753="Wrong citation",G753="Missing citation"),OR(H753="Yes",H753="No"),I753&lt;&gt;"",OR(F753&lt;&gt;"Supported",E753&lt;&gt;""),OR(G753&lt;&gt;"Supported",AND(F753="Supported",D753&lt;&gt;"",E753&lt;&gt;""))),"Yes","No"))</f>
        <v/>
      </c>
    </row>
    <row r="754" spans="11:11">
      <c r="K754" s="11">
        <f>IF(OR(A754="",C754=""),"",IF(AND(COUNTIF(Responses!$A$6:$A$205,A754)=1,B754&lt;&gt;"",COUNTIFS($A$6:$A$2005,A754,$B$6:$B$2005,B754)=1,OR(F754="Supported",F754="Unsupported",F754="Contradicted"),OR(G754="Supported",G754="Wrong citation",G754="Missing citation"),OR(H754="Yes",H754="No"),I754&lt;&gt;"",OR(F754&lt;&gt;"Supported",E754&lt;&gt;""),OR(G754&lt;&gt;"Supported",AND(F754="Supported",D754&lt;&gt;"",E754&lt;&gt;""))),"Yes","No"))</f>
        <v/>
      </c>
    </row>
    <row r="755" spans="11:11">
      <c r="K755" s="11">
        <f>IF(OR(A755="",C755=""),"",IF(AND(COUNTIF(Responses!$A$6:$A$205,A755)=1,B755&lt;&gt;"",COUNTIFS($A$6:$A$2005,A755,$B$6:$B$2005,B755)=1,OR(F755="Supported",F755="Unsupported",F755="Contradicted"),OR(G755="Supported",G755="Wrong citation",G755="Missing citation"),OR(H755="Yes",H755="No"),I755&lt;&gt;"",OR(F755&lt;&gt;"Supported",E755&lt;&gt;""),OR(G755&lt;&gt;"Supported",AND(F755="Supported",D755&lt;&gt;"",E755&lt;&gt;""))),"Yes","No"))</f>
        <v/>
      </c>
    </row>
    <row r="756" spans="11:11">
      <c r="K756" s="11">
        <f>IF(OR(A756="",C756=""),"",IF(AND(COUNTIF(Responses!$A$6:$A$205,A756)=1,B756&lt;&gt;"",COUNTIFS($A$6:$A$2005,A756,$B$6:$B$2005,B756)=1,OR(F756="Supported",F756="Unsupported",F756="Contradicted"),OR(G756="Supported",G756="Wrong citation",G756="Missing citation"),OR(H756="Yes",H756="No"),I756&lt;&gt;"",OR(F756&lt;&gt;"Supported",E756&lt;&gt;""),OR(G756&lt;&gt;"Supported",AND(F756="Supported",D756&lt;&gt;"",E756&lt;&gt;""))),"Yes","No"))</f>
        <v/>
      </c>
    </row>
    <row r="757" spans="11:11">
      <c r="K757" s="11">
        <f>IF(OR(A757="",C757=""),"",IF(AND(COUNTIF(Responses!$A$6:$A$205,A757)=1,B757&lt;&gt;"",COUNTIFS($A$6:$A$2005,A757,$B$6:$B$2005,B757)=1,OR(F757="Supported",F757="Unsupported",F757="Contradicted"),OR(G757="Supported",G757="Wrong citation",G757="Missing citation"),OR(H757="Yes",H757="No"),I757&lt;&gt;"",OR(F757&lt;&gt;"Supported",E757&lt;&gt;""),OR(G757&lt;&gt;"Supported",AND(F757="Supported",D757&lt;&gt;"",E757&lt;&gt;""))),"Yes","No"))</f>
        <v/>
      </c>
    </row>
    <row r="758" spans="11:11">
      <c r="K758" s="11">
        <f>IF(OR(A758="",C758=""),"",IF(AND(COUNTIF(Responses!$A$6:$A$205,A758)=1,B758&lt;&gt;"",COUNTIFS($A$6:$A$2005,A758,$B$6:$B$2005,B758)=1,OR(F758="Supported",F758="Unsupported",F758="Contradicted"),OR(G758="Supported",G758="Wrong citation",G758="Missing citation"),OR(H758="Yes",H758="No"),I758&lt;&gt;"",OR(F758&lt;&gt;"Supported",E758&lt;&gt;""),OR(G758&lt;&gt;"Supported",AND(F758="Supported",D758&lt;&gt;"",E758&lt;&gt;""))),"Yes","No"))</f>
        <v/>
      </c>
    </row>
    <row r="759" spans="11:11">
      <c r="K759" s="11">
        <f>IF(OR(A759="",C759=""),"",IF(AND(COUNTIF(Responses!$A$6:$A$205,A759)=1,B759&lt;&gt;"",COUNTIFS($A$6:$A$2005,A759,$B$6:$B$2005,B759)=1,OR(F759="Supported",F759="Unsupported",F759="Contradicted"),OR(G759="Supported",G759="Wrong citation",G759="Missing citation"),OR(H759="Yes",H759="No"),I759&lt;&gt;"",OR(F759&lt;&gt;"Supported",E759&lt;&gt;""),OR(G759&lt;&gt;"Supported",AND(F759="Supported",D759&lt;&gt;"",E759&lt;&gt;""))),"Yes","No"))</f>
        <v/>
      </c>
    </row>
    <row r="760" spans="11:11">
      <c r="K760" s="11">
        <f>IF(OR(A760="",C760=""),"",IF(AND(COUNTIF(Responses!$A$6:$A$205,A760)=1,B760&lt;&gt;"",COUNTIFS($A$6:$A$2005,A760,$B$6:$B$2005,B760)=1,OR(F760="Supported",F760="Unsupported",F760="Contradicted"),OR(G760="Supported",G760="Wrong citation",G760="Missing citation"),OR(H760="Yes",H760="No"),I760&lt;&gt;"",OR(F760&lt;&gt;"Supported",E760&lt;&gt;""),OR(G760&lt;&gt;"Supported",AND(F760="Supported",D760&lt;&gt;"",E760&lt;&gt;""))),"Yes","No"))</f>
        <v/>
      </c>
    </row>
    <row r="761" spans="11:11">
      <c r="K761" s="11">
        <f>IF(OR(A761="",C761=""),"",IF(AND(COUNTIF(Responses!$A$6:$A$205,A761)=1,B761&lt;&gt;"",COUNTIFS($A$6:$A$2005,A761,$B$6:$B$2005,B761)=1,OR(F761="Supported",F761="Unsupported",F761="Contradicted"),OR(G761="Supported",G761="Wrong citation",G761="Missing citation"),OR(H761="Yes",H761="No"),I761&lt;&gt;"",OR(F761&lt;&gt;"Supported",E761&lt;&gt;""),OR(G761&lt;&gt;"Supported",AND(F761="Supported",D761&lt;&gt;"",E761&lt;&gt;""))),"Yes","No"))</f>
        <v/>
      </c>
    </row>
    <row r="762" spans="11:11">
      <c r="K762" s="11">
        <f>IF(OR(A762="",C762=""),"",IF(AND(COUNTIF(Responses!$A$6:$A$205,A762)=1,B762&lt;&gt;"",COUNTIFS($A$6:$A$2005,A762,$B$6:$B$2005,B762)=1,OR(F762="Supported",F762="Unsupported",F762="Contradicted"),OR(G762="Supported",G762="Wrong citation",G762="Missing citation"),OR(H762="Yes",H762="No"),I762&lt;&gt;"",OR(F762&lt;&gt;"Supported",E762&lt;&gt;""),OR(G762&lt;&gt;"Supported",AND(F762="Supported",D762&lt;&gt;"",E762&lt;&gt;""))),"Yes","No"))</f>
        <v/>
      </c>
    </row>
    <row r="763" spans="11:11">
      <c r="K763" s="11">
        <f>IF(OR(A763="",C763=""),"",IF(AND(COUNTIF(Responses!$A$6:$A$205,A763)=1,B763&lt;&gt;"",COUNTIFS($A$6:$A$2005,A763,$B$6:$B$2005,B763)=1,OR(F763="Supported",F763="Unsupported",F763="Contradicted"),OR(G763="Supported",G763="Wrong citation",G763="Missing citation"),OR(H763="Yes",H763="No"),I763&lt;&gt;"",OR(F763&lt;&gt;"Supported",E763&lt;&gt;""),OR(G763&lt;&gt;"Supported",AND(F763="Supported",D763&lt;&gt;"",E763&lt;&gt;""))),"Yes","No"))</f>
        <v/>
      </c>
    </row>
    <row r="764" spans="11:11">
      <c r="K764" s="11">
        <f>IF(OR(A764="",C764=""),"",IF(AND(COUNTIF(Responses!$A$6:$A$205,A764)=1,B764&lt;&gt;"",COUNTIFS($A$6:$A$2005,A764,$B$6:$B$2005,B764)=1,OR(F764="Supported",F764="Unsupported",F764="Contradicted"),OR(G764="Supported",G764="Wrong citation",G764="Missing citation"),OR(H764="Yes",H764="No"),I764&lt;&gt;"",OR(F764&lt;&gt;"Supported",E764&lt;&gt;""),OR(G764&lt;&gt;"Supported",AND(F764="Supported",D764&lt;&gt;"",E764&lt;&gt;""))),"Yes","No"))</f>
        <v/>
      </c>
    </row>
    <row r="765" spans="11:11">
      <c r="K765" s="11">
        <f>IF(OR(A765="",C765=""),"",IF(AND(COUNTIF(Responses!$A$6:$A$205,A765)=1,B765&lt;&gt;"",COUNTIFS($A$6:$A$2005,A765,$B$6:$B$2005,B765)=1,OR(F765="Supported",F765="Unsupported",F765="Contradicted"),OR(G765="Supported",G765="Wrong citation",G765="Missing citation"),OR(H765="Yes",H765="No"),I765&lt;&gt;"",OR(F765&lt;&gt;"Supported",E765&lt;&gt;""),OR(G765&lt;&gt;"Supported",AND(F765="Supported",D765&lt;&gt;"",E765&lt;&gt;""))),"Yes","No"))</f>
        <v/>
      </c>
    </row>
    <row r="766" spans="11:11">
      <c r="K766" s="11">
        <f>IF(OR(A766="",C766=""),"",IF(AND(COUNTIF(Responses!$A$6:$A$205,A766)=1,B766&lt;&gt;"",COUNTIFS($A$6:$A$2005,A766,$B$6:$B$2005,B766)=1,OR(F766="Supported",F766="Unsupported",F766="Contradicted"),OR(G766="Supported",G766="Wrong citation",G766="Missing citation"),OR(H766="Yes",H766="No"),I766&lt;&gt;"",OR(F766&lt;&gt;"Supported",E766&lt;&gt;""),OR(G766&lt;&gt;"Supported",AND(F766="Supported",D766&lt;&gt;"",E766&lt;&gt;""))),"Yes","No"))</f>
        <v/>
      </c>
    </row>
    <row r="767" spans="11:11">
      <c r="K767" s="11">
        <f>IF(OR(A767="",C767=""),"",IF(AND(COUNTIF(Responses!$A$6:$A$205,A767)=1,B767&lt;&gt;"",COUNTIFS($A$6:$A$2005,A767,$B$6:$B$2005,B767)=1,OR(F767="Supported",F767="Unsupported",F767="Contradicted"),OR(G767="Supported",G767="Wrong citation",G767="Missing citation"),OR(H767="Yes",H767="No"),I767&lt;&gt;"",OR(F767&lt;&gt;"Supported",E767&lt;&gt;""),OR(G767&lt;&gt;"Supported",AND(F767="Supported",D767&lt;&gt;"",E767&lt;&gt;""))),"Yes","No"))</f>
        <v/>
      </c>
    </row>
    <row r="768" spans="11:11">
      <c r="K768" s="11">
        <f>IF(OR(A768="",C768=""),"",IF(AND(COUNTIF(Responses!$A$6:$A$205,A768)=1,B768&lt;&gt;"",COUNTIFS($A$6:$A$2005,A768,$B$6:$B$2005,B768)=1,OR(F768="Supported",F768="Unsupported",F768="Contradicted"),OR(G768="Supported",G768="Wrong citation",G768="Missing citation"),OR(H768="Yes",H768="No"),I768&lt;&gt;"",OR(F768&lt;&gt;"Supported",E768&lt;&gt;""),OR(G768&lt;&gt;"Supported",AND(F768="Supported",D768&lt;&gt;"",E768&lt;&gt;""))),"Yes","No"))</f>
        <v/>
      </c>
    </row>
    <row r="769" spans="11:11">
      <c r="K769" s="11">
        <f>IF(OR(A769="",C769=""),"",IF(AND(COUNTIF(Responses!$A$6:$A$205,A769)=1,B769&lt;&gt;"",COUNTIFS($A$6:$A$2005,A769,$B$6:$B$2005,B769)=1,OR(F769="Supported",F769="Unsupported",F769="Contradicted"),OR(G769="Supported",G769="Wrong citation",G769="Missing citation"),OR(H769="Yes",H769="No"),I769&lt;&gt;"",OR(F769&lt;&gt;"Supported",E769&lt;&gt;""),OR(G769&lt;&gt;"Supported",AND(F769="Supported",D769&lt;&gt;"",E769&lt;&gt;""))),"Yes","No"))</f>
        <v/>
      </c>
    </row>
    <row r="770" spans="11:11">
      <c r="K770" s="11">
        <f>IF(OR(A770="",C770=""),"",IF(AND(COUNTIF(Responses!$A$6:$A$205,A770)=1,B770&lt;&gt;"",COUNTIFS($A$6:$A$2005,A770,$B$6:$B$2005,B770)=1,OR(F770="Supported",F770="Unsupported",F770="Contradicted"),OR(G770="Supported",G770="Wrong citation",G770="Missing citation"),OR(H770="Yes",H770="No"),I770&lt;&gt;"",OR(F770&lt;&gt;"Supported",E770&lt;&gt;""),OR(G770&lt;&gt;"Supported",AND(F770="Supported",D770&lt;&gt;"",E770&lt;&gt;""))),"Yes","No"))</f>
        <v/>
      </c>
    </row>
    <row r="771" spans="11:11">
      <c r="K771" s="11">
        <f>IF(OR(A771="",C771=""),"",IF(AND(COUNTIF(Responses!$A$6:$A$205,A771)=1,B771&lt;&gt;"",COUNTIFS($A$6:$A$2005,A771,$B$6:$B$2005,B771)=1,OR(F771="Supported",F771="Unsupported",F771="Contradicted"),OR(G771="Supported",G771="Wrong citation",G771="Missing citation"),OR(H771="Yes",H771="No"),I771&lt;&gt;"",OR(F771&lt;&gt;"Supported",E771&lt;&gt;""),OR(G771&lt;&gt;"Supported",AND(F771="Supported",D771&lt;&gt;"",E771&lt;&gt;""))),"Yes","No"))</f>
        <v/>
      </c>
    </row>
    <row r="772" spans="11:11">
      <c r="K772" s="11">
        <f>IF(OR(A772="",C772=""),"",IF(AND(COUNTIF(Responses!$A$6:$A$205,A772)=1,B772&lt;&gt;"",COUNTIFS($A$6:$A$2005,A772,$B$6:$B$2005,B772)=1,OR(F772="Supported",F772="Unsupported",F772="Contradicted"),OR(G772="Supported",G772="Wrong citation",G772="Missing citation"),OR(H772="Yes",H772="No"),I772&lt;&gt;"",OR(F772&lt;&gt;"Supported",E772&lt;&gt;""),OR(G772&lt;&gt;"Supported",AND(F772="Supported",D772&lt;&gt;"",E772&lt;&gt;""))),"Yes","No"))</f>
        <v/>
      </c>
    </row>
    <row r="773" spans="11:11">
      <c r="K773" s="11">
        <f>IF(OR(A773="",C773=""),"",IF(AND(COUNTIF(Responses!$A$6:$A$205,A773)=1,B773&lt;&gt;"",COUNTIFS($A$6:$A$2005,A773,$B$6:$B$2005,B773)=1,OR(F773="Supported",F773="Unsupported",F773="Contradicted"),OR(G773="Supported",G773="Wrong citation",G773="Missing citation"),OR(H773="Yes",H773="No"),I773&lt;&gt;"",OR(F773&lt;&gt;"Supported",E773&lt;&gt;""),OR(G773&lt;&gt;"Supported",AND(F773="Supported",D773&lt;&gt;"",E773&lt;&gt;""))),"Yes","No"))</f>
        <v/>
      </c>
    </row>
    <row r="774" spans="11:11">
      <c r="K774" s="11">
        <f>IF(OR(A774="",C774=""),"",IF(AND(COUNTIF(Responses!$A$6:$A$205,A774)=1,B774&lt;&gt;"",COUNTIFS($A$6:$A$2005,A774,$B$6:$B$2005,B774)=1,OR(F774="Supported",F774="Unsupported",F774="Contradicted"),OR(G774="Supported",G774="Wrong citation",G774="Missing citation"),OR(H774="Yes",H774="No"),I774&lt;&gt;"",OR(F774&lt;&gt;"Supported",E774&lt;&gt;""),OR(G774&lt;&gt;"Supported",AND(F774="Supported",D774&lt;&gt;"",E774&lt;&gt;""))),"Yes","No"))</f>
        <v/>
      </c>
    </row>
    <row r="775" spans="11:11">
      <c r="K775" s="11">
        <f>IF(OR(A775="",C775=""),"",IF(AND(COUNTIF(Responses!$A$6:$A$205,A775)=1,B775&lt;&gt;"",COUNTIFS($A$6:$A$2005,A775,$B$6:$B$2005,B775)=1,OR(F775="Supported",F775="Unsupported",F775="Contradicted"),OR(G775="Supported",G775="Wrong citation",G775="Missing citation"),OR(H775="Yes",H775="No"),I775&lt;&gt;"",OR(F775&lt;&gt;"Supported",E775&lt;&gt;""),OR(G775&lt;&gt;"Supported",AND(F775="Supported",D775&lt;&gt;"",E775&lt;&gt;""))),"Yes","No"))</f>
        <v/>
      </c>
    </row>
    <row r="776" spans="11:11">
      <c r="K776" s="11">
        <f>IF(OR(A776="",C776=""),"",IF(AND(COUNTIF(Responses!$A$6:$A$205,A776)=1,B776&lt;&gt;"",COUNTIFS($A$6:$A$2005,A776,$B$6:$B$2005,B776)=1,OR(F776="Supported",F776="Unsupported",F776="Contradicted"),OR(G776="Supported",G776="Wrong citation",G776="Missing citation"),OR(H776="Yes",H776="No"),I776&lt;&gt;"",OR(F776&lt;&gt;"Supported",E776&lt;&gt;""),OR(G776&lt;&gt;"Supported",AND(F776="Supported",D776&lt;&gt;"",E776&lt;&gt;""))),"Yes","No"))</f>
        <v/>
      </c>
    </row>
    <row r="777" spans="11:11">
      <c r="K777" s="11">
        <f>IF(OR(A777="",C777=""),"",IF(AND(COUNTIF(Responses!$A$6:$A$205,A777)=1,B777&lt;&gt;"",COUNTIFS($A$6:$A$2005,A777,$B$6:$B$2005,B777)=1,OR(F777="Supported",F777="Unsupported",F777="Contradicted"),OR(G777="Supported",G777="Wrong citation",G777="Missing citation"),OR(H777="Yes",H777="No"),I777&lt;&gt;"",OR(F777&lt;&gt;"Supported",E777&lt;&gt;""),OR(G777&lt;&gt;"Supported",AND(F777="Supported",D777&lt;&gt;"",E777&lt;&gt;""))),"Yes","No"))</f>
        <v/>
      </c>
    </row>
    <row r="778" spans="11:11">
      <c r="K778" s="11">
        <f>IF(OR(A778="",C778=""),"",IF(AND(COUNTIF(Responses!$A$6:$A$205,A778)=1,B778&lt;&gt;"",COUNTIFS($A$6:$A$2005,A778,$B$6:$B$2005,B778)=1,OR(F778="Supported",F778="Unsupported",F778="Contradicted"),OR(G778="Supported",G778="Wrong citation",G778="Missing citation"),OR(H778="Yes",H778="No"),I778&lt;&gt;"",OR(F778&lt;&gt;"Supported",E778&lt;&gt;""),OR(G778&lt;&gt;"Supported",AND(F778="Supported",D778&lt;&gt;"",E778&lt;&gt;""))),"Yes","No"))</f>
        <v/>
      </c>
    </row>
    <row r="779" spans="11:11">
      <c r="K779" s="11">
        <f>IF(OR(A779="",C779=""),"",IF(AND(COUNTIF(Responses!$A$6:$A$205,A779)=1,B779&lt;&gt;"",COUNTIFS($A$6:$A$2005,A779,$B$6:$B$2005,B779)=1,OR(F779="Supported",F779="Unsupported",F779="Contradicted"),OR(G779="Supported",G779="Wrong citation",G779="Missing citation"),OR(H779="Yes",H779="No"),I779&lt;&gt;"",OR(F779&lt;&gt;"Supported",E779&lt;&gt;""),OR(G779&lt;&gt;"Supported",AND(F779="Supported",D779&lt;&gt;"",E779&lt;&gt;""))),"Yes","No"))</f>
        <v/>
      </c>
    </row>
    <row r="780" spans="11:11">
      <c r="K780" s="11">
        <f>IF(OR(A780="",C780=""),"",IF(AND(COUNTIF(Responses!$A$6:$A$205,A780)=1,B780&lt;&gt;"",COUNTIFS($A$6:$A$2005,A780,$B$6:$B$2005,B780)=1,OR(F780="Supported",F780="Unsupported",F780="Contradicted"),OR(G780="Supported",G780="Wrong citation",G780="Missing citation"),OR(H780="Yes",H780="No"),I780&lt;&gt;"",OR(F780&lt;&gt;"Supported",E780&lt;&gt;""),OR(G780&lt;&gt;"Supported",AND(F780="Supported",D780&lt;&gt;"",E780&lt;&gt;""))),"Yes","No"))</f>
        <v/>
      </c>
    </row>
    <row r="781" spans="11:11">
      <c r="K781" s="11">
        <f>IF(OR(A781="",C781=""),"",IF(AND(COUNTIF(Responses!$A$6:$A$205,A781)=1,B781&lt;&gt;"",COUNTIFS($A$6:$A$2005,A781,$B$6:$B$2005,B781)=1,OR(F781="Supported",F781="Unsupported",F781="Contradicted"),OR(G781="Supported",G781="Wrong citation",G781="Missing citation"),OR(H781="Yes",H781="No"),I781&lt;&gt;"",OR(F781&lt;&gt;"Supported",E781&lt;&gt;""),OR(G781&lt;&gt;"Supported",AND(F781="Supported",D781&lt;&gt;"",E781&lt;&gt;""))),"Yes","No"))</f>
        <v/>
      </c>
    </row>
    <row r="782" spans="11:11">
      <c r="K782" s="11">
        <f>IF(OR(A782="",C782=""),"",IF(AND(COUNTIF(Responses!$A$6:$A$205,A782)=1,B782&lt;&gt;"",COUNTIFS($A$6:$A$2005,A782,$B$6:$B$2005,B782)=1,OR(F782="Supported",F782="Unsupported",F782="Contradicted"),OR(G782="Supported",G782="Wrong citation",G782="Missing citation"),OR(H782="Yes",H782="No"),I782&lt;&gt;"",OR(F782&lt;&gt;"Supported",E782&lt;&gt;""),OR(G782&lt;&gt;"Supported",AND(F782="Supported",D782&lt;&gt;"",E782&lt;&gt;""))),"Yes","No"))</f>
        <v/>
      </c>
    </row>
    <row r="783" spans="11:11">
      <c r="K783" s="11">
        <f>IF(OR(A783="",C783=""),"",IF(AND(COUNTIF(Responses!$A$6:$A$205,A783)=1,B783&lt;&gt;"",COUNTIFS($A$6:$A$2005,A783,$B$6:$B$2005,B783)=1,OR(F783="Supported",F783="Unsupported",F783="Contradicted"),OR(G783="Supported",G783="Wrong citation",G783="Missing citation"),OR(H783="Yes",H783="No"),I783&lt;&gt;"",OR(F783&lt;&gt;"Supported",E783&lt;&gt;""),OR(G783&lt;&gt;"Supported",AND(F783="Supported",D783&lt;&gt;"",E783&lt;&gt;""))),"Yes","No"))</f>
        <v/>
      </c>
    </row>
    <row r="784" spans="11:11">
      <c r="K784" s="11">
        <f>IF(OR(A784="",C784=""),"",IF(AND(COUNTIF(Responses!$A$6:$A$205,A784)=1,B784&lt;&gt;"",COUNTIFS($A$6:$A$2005,A784,$B$6:$B$2005,B784)=1,OR(F784="Supported",F784="Unsupported",F784="Contradicted"),OR(G784="Supported",G784="Wrong citation",G784="Missing citation"),OR(H784="Yes",H784="No"),I784&lt;&gt;"",OR(F784&lt;&gt;"Supported",E784&lt;&gt;""),OR(G784&lt;&gt;"Supported",AND(F784="Supported",D784&lt;&gt;"",E784&lt;&gt;""))),"Yes","No"))</f>
        <v/>
      </c>
    </row>
    <row r="785" spans="11:11">
      <c r="K785" s="11">
        <f>IF(OR(A785="",C785=""),"",IF(AND(COUNTIF(Responses!$A$6:$A$205,A785)=1,B785&lt;&gt;"",COUNTIFS($A$6:$A$2005,A785,$B$6:$B$2005,B785)=1,OR(F785="Supported",F785="Unsupported",F785="Contradicted"),OR(G785="Supported",G785="Wrong citation",G785="Missing citation"),OR(H785="Yes",H785="No"),I785&lt;&gt;"",OR(F785&lt;&gt;"Supported",E785&lt;&gt;""),OR(G785&lt;&gt;"Supported",AND(F785="Supported",D785&lt;&gt;"",E785&lt;&gt;""))),"Yes","No"))</f>
        <v/>
      </c>
    </row>
    <row r="786" spans="11:11">
      <c r="K786" s="11">
        <f>IF(OR(A786="",C786=""),"",IF(AND(COUNTIF(Responses!$A$6:$A$205,A786)=1,B786&lt;&gt;"",COUNTIFS($A$6:$A$2005,A786,$B$6:$B$2005,B786)=1,OR(F786="Supported",F786="Unsupported",F786="Contradicted"),OR(G786="Supported",G786="Wrong citation",G786="Missing citation"),OR(H786="Yes",H786="No"),I786&lt;&gt;"",OR(F786&lt;&gt;"Supported",E786&lt;&gt;""),OR(G786&lt;&gt;"Supported",AND(F786="Supported",D786&lt;&gt;"",E786&lt;&gt;""))),"Yes","No"))</f>
        <v/>
      </c>
    </row>
    <row r="787" spans="11:11">
      <c r="K787" s="11">
        <f>IF(OR(A787="",C787=""),"",IF(AND(COUNTIF(Responses!$A$6:$A$205,A787)=1,B787&lt;&gt;"",COUNTIFS($A$6:$A$2005,A787,$B$6:$B$2005,B787)=1,OR(F787="Supported",F787="Unsupported",F787="Contradicted"),OR(G787="Supported",G787="Wrong citation",G787="Missing citation"),OR(H787="Yes",H787="No"),I787&lt;&gt;"",OR(F787&lt;&gt;"Supported",E787&lt;&gt;""),OR(G787&lt;&gt;"Supported",AND(F787="Supported",D787&lt;&gt;"",E787&lt;&gt;""))),"Yes","No"))</f>
        <v/>
      </c>
    </row>
    <row r="788" spans="11:11">
      <c r="K788" s="11">
        <f>IF(OR(A788="",C788=""),"",IF(AND(COUNTIF(Responses!$A$6:$A$205,A788)=1,B788&lt;&gt;"",COUNTIFS($A$6:$A$2005,A788,$B$6:$B$2005,B788)=1,OR(F788="Supported",F788="Unsupported",F788="Contradicted"),OR(G788="Supported",G788="Wrong citation",G788="Missing citation"),OR(H788="Yes",H788="No"),I788&lt;&gt;"",OR(F788&lt;&gt;"Supported",E788&lt;&gt;""),OR(G788&lt;&gt;"Supported",AND(F788="Supported",D788&lt;&gt;"",E788&lt;&gt;""))),"Yes","No"))</f>
        <v/>
      </c>
    </row>
    <row r="789" spans="11:11">
      <c r="K789" s="11">
        <f>IF(OR(A789="",C789=""),"",IF(AND(COUNTIF(Responses!$A$6:$A$205,A789)=1,B789&lt;&gt;"",COUNTIFS($A$6:$A$2005,A789,$B$6:$B$2005,B789)=1,OR(F789="Supported",F789="Unsupported",F789="Contradicted"),OR(G789="Supported",G789="Wrong citation",G789="Missing citation"),OR(H789="Yes",H789="No"),I789&lt;&gt;"",OR(F789&lt;&gt;"Supported",E789&lt;&gt;""),OR(G789&lt;&gt;"Supported",AND(F789="Supported",D789&lt;&gt;"",E789&lt;&gt;""))),"Yes","No"))</f>
        <v/>
      </c>
    </row>
    <row r="790" spans="11:11">
      <c r="K790" s="11">
        <f>IF(OR(A790="",C790=""),"",IF(AND(COUNTIF(Responses!$A$6:$A$205,A790)=1,B790&lt;&gt;"",COUNTIFS($A$6:$A$2005,A790,$B$6:$B$2005,B790)=1,OR(F790="Supported",F790="Unsupported",F790="Contradicted"),OR(G790="Supported",G790="Wrong citation",G790="Missing citation"),OR(H790="Yes",H790="No"),I790&lt;&gt;"",OR(F790&lt;&gt;"Supported",E790&lt;&gt;""),OR(G790&lt;&gt;"Supported",AND(F790="Supported",D790&lt;&gt;"",E790&lt;&gt;""))),"Yes","No"))</f>
        <v/>
      </c>
    </row>
    <row r="791" spans="11:11">
      <c r="K791" s="11">
        <f>IF(OR(A791="",C791=""),"",IF(AND(COUNTIF(Responses!$A$6:$A$205,A791)=1,B791&lt;&gt;"",COUNTIFS($A$6:$A$2005,A791,$B$6:$B$2005,B791)=1,OR(F791="Supported",F791="Unsupported",F791="Contradicted"),OR(G791="Supported",G791="Wrong citation",G791="Missing citation"),OR(H791="Yes",H791="No"),I791&lt;&gt;"",OR(F791&lt;&gt;"Supported",E791&lt;&gt;""),OR(G791&lt;&gt;"Supported",AND(F791="Supported",D791&lt;&gt;"",E791&lt;&gt;""))),"Yes","No"))</f>
        <v/>
      </c>
    </row>
    <row r="792" spans="11:11">
      <c r="K792" s="11">
        <f>IF(OR(A792="",C792=""),"",IF(AND(COUNTIF(Responses!$A$6:$A$205,A792)=1,B792&lt;&gt;"",COUNTIFS($A$6:$A$2005,A792,$B$6:$B$2005,B792)=1,OR(F792="Supported",F792="Unsupported",F792="Contradicted"),OR(G792="Supported",G792="Wrong citation",G792="Missing citation"),OR(H792="Yes",H792="No"),I792&lt;&gt;"",OR(F792&lt;&gt;"Supported",E792&lt;&gt;""),OR(G792&lt;&gt;"Supported",AND(F792="Supported",D792&lt;&gt;"",E792&lt;&gt;""))),"Yes","No"))</f>
        <v/>
      </c>
    </row>
    <row r="793" spans="11:11">
      <c r="K793" s="11">
        <f>IF(OR(A793="",C793=""),"",IF(AND(COUNTIF(Responses!$A$6:$A$205,A793)=1,B793&lt;&gt;"",COUNTIFS($A$6:$A$2005,A793,$B$6:$B$2005,B793)=1,OR(F793="Supported",F793="Unsupported",F793="Contradicted"),OR(G793="Supported",G793="Wrong citation",G793="Missing citation"),OR(H793="Yes",H793="No"),I793&lt;&gt;"",OR(F793&lt;&gt;"Supported",E793&lt;&gt;""),OR(G793&lt;&gt;"Supported",AND(F793="Supported",D793&lt;&gt;"",E793&lt;&gt;""))),"Yes","No"))</f>
        <v/>
      </c>
    </row>
    <row r="794" spans="11:11">
      <c r="K794" s="11">
        <f>IF(OR(A794="",C794=""),"",IF(AND(COUNTIF(Responses!$A$6:$A$205,A794)=1,B794&lt;&gt;"",COUNTIFS($A$6:$A$2005,A794,$B$6:$B$2005,B794)=1,OR(F794="Supported",F794="Unsupported",F794="Contradicted"),OR(G794="Supported",G794="Wrong citation",G794="Missing citation"),OR(H794="Yes",H794="No"),I794&lt;&gt;"",OR(F794&lt;&gt;"Supported",E794&lt;&gt;""),OR(G794&lt;&gt;"Supported",AND(F794="Supported",D794&lt;&gt;"",E794&lt;&gt;""))),"Yes","No"))</f>
        <v/>
      </c>
    </row>
    <row r="795" spans="11:11">
      <c r="K795" s="11">
        <f>IF(OR(A795="",C795=""),"",IF(AND(COUNTIF(Responses!$A$6:$A$205,A795)=1,B795&lt;&gt;"",COUNTIFS($A$6:$A$2005,A795,$B$6:$B$2005,B795)=1,OR(F795="Supported",F795="Unsupported",F795="Contradicted"),OR(G795="Supported",G795="Wrong citation",G795="Missing citation"),OR(H795="Yes",H795="No"),I795&lt;&gt;"",OR(F795&lt;&gt;"Supported",E795&lt;&gt;""),OR(G795&lt;&gt;"Supported",AND(F795="Supported",D795&lt;&gt;"",E795&lt;&gt;""))),"Yes","No"))</f>
        <v/>
      </c>
    </row>
    <row r="796" spans="11:11">
      <c r="K796" s="11">
        <f>IF(OR(A796="",C796=""),"",IF(AND(COUNTIF(Responses!$A$6:$A$205,A796)=1,B796&lt;&gt;"",COUNTIFS($A$6:$A$2005,A796,$B$6:$B$2005,B796)=1,OR(F796="Supported",F796="Unsupported",F796="Contradicted"),OR(G796="Supported",G796="Wrong citation",G796="Missing citation"),OR(H796="Yes",H796="No"),I796&lt;&gt;"",OR(F796&lt;&gt;"Supported",E796&lt;&gt;""),OR(G796&lt;&gt;"Supported",AND(F796="Supported",D796&lt;&gt;"",E796&lt;&gt;""))),"Yes","No"))</f>
        <v/>
      </c>
    </row>
    <row r="797" spans="11:11">
      <c r="K797" s="11">
        <f>IF(OR(A797="",C797=""),"",IF(AND(COUNTIF(Responses!$A$6:$A$205,A797)=1,B797&lt;&gt;"",COUNTIFS($A$6:$A$2005,A797,$B$6:$B$2005,B797)=1,OR(F797="Supported",F797="Unsupported",F797="Contradicted"),OR(G797="Supported",G797="Wrong citation",G797="Missing citation"),OR(H797="Yes",H797="No"),I797&lt;&gt;"",OR(F797&lt;&gt;"Supported",E797&lt;&gt;""),OR(G797&lt;&gt;"Supported",AND(F797="Supported",D797&lt;&gt;"",E797&lt;&gt;""))),"Yes","No"))</f>
        <v/>
      </c>
    </row>
    <row r="798" spans="11:11">
      <c r="K798" s="11">
        <f>IF(OR(A798="",C798=""),"",IF(AND(COUNTIF(Responses!$A$6:$A$205,A798)=1,B798&lt;&gt;"",COUNTIFS($A$6:$A$2005,A798,$B$6:$B$2005,B798)=1,OR(F798="Supported",F798="Unsupported",F798="Contradicted"),OR(G798="Supported",G798="Wrong citation",G798="Missing citation"),OR(H798="Yes",H798="No"),I798&lt;&gt;"",OR(F798&lt;&gt;"Supported",E798&lt;&gt;""),OR(G798&lt;&gt;"Supported",AND(F798="Supported",D798&lt;&gt;"",E798&lt;&gt;""))),"Yes","No"))</f>
        <v/>
      </c>
    </row>
    <row r="799" spans="11:11">
      <c r="K799" s="11">
        <f>IF(OR(A799="",C799=""),"",IF(AND(COUNTIF(Responses!$A$6:$A$205,A799)=1,B799&lt;&gt;"",COUNTIFS($A$6:$A$2005,A799,$B$6:$B$2005,B799)=1,OR(F799="Supported",F799="Unsupported",F799="Contradicted"),OR(G799="Supported",G799="Wrong citation",G799="Missing citation"),OR(H799="Yes",H799="No"),I799&lt;&gt;"",OR(F799&lt;&gt;"Supported",E799&lt;&gt;""),OR(G799&lt;&gt;"Supported",AND(F799="Supported",D799&lt;&gt;"",E799&lt;&gt;""))),"Yes","No"))</f>
        <v/>
      </c>
    </row>
    <row r="800" spans="11:11">
      <c r="K800" s="11">
        <f>IF(OR(A800="",C800=""),"",IF(AND(COUNTIF(Responses!$A$6:$A$205,A800)=1,B800&lt;&gt;"",COUNTIFS($A$6:$A$2005,A800,$B$6:$B$2005,B800)=1,OR(F800="Supported",F800="Unsupported",F800="Contradicted"),OR(G800="Supported",G800="Wrong citation",G800="Missing citation"),OR(H800="Yes",H800="No"),I800&lt;&gt;"",OR(F800&lt;&gt;"Supported",E800&lt;&gt;""),OR(G800&lt;&gt;"Supported",AND(F800="Supported",D800&lt;&gt;"",E800&lt;&gt;""))),"Yes","No"))</f>
        <v/>
      </c>
    </row>
    <row r="801" spans="11:11">
      <c r="K801" s="11">
        <f>IF(OR(A801="",C801=""),"",IF(AND(COUNTIF(Responses!$A$6:$A$205,A801)=1,B801&lt;&gt;"",COUNTIFS($A$6:$A$2005,A801,$B$6:$B$2005,B801)=1,OR(F801="Supported",F801="Unsupported",F801="Contradicted"),OR(G801="Supported",G801="Wrong citation",G801="Missing citation"),OR(H801="Yes",H801="No"),I801&lt;&gt;"",OR(F801&lt;&gt;"Supported",E801&lt;&gt;""),OR(G801&lt;&gt;"Supported",AND(F801="Supported",D801&lt;&gt;"",E801&lt;&gt;""))),"Yes","No"))</f>
        <v/>
      </c>
    </row>
    <row r="802" spans="11:11">
      <c r="K802" s="11">
        <f>IF(OR(A802="",C802=""),"",IF(AND(COUNTIF(Responses!$A$6:$A$205,A802)=1,B802&lt;&gt;"",COUNTIFS($A$6:$A$2005,A802,$B$6:$B$2005,B802)=1,OR(F802="Supported",F802="Unsupported",F802="Contradicted"),OR(G802="Supported",G802="Wrong citation",G802="Missing citation"),OR(H802="Yes",H802="No"),I802&lt;&gt;"",OR(F802&lt;&gt;"Supported",E802&lt;&gt;""),OR(G802&lt;&gt;"Supported",AND(F802="Supported",D802&lt;&gt;"",E802&lt;&gt;""))),"Yes","No"))</f>
        <v/>
      </c>
    </row>
    <row r="803" spans="11:11">
      <c r="K803" s="11">
        <f>IF(OR(A803="",C803=""),"",IF(AND(COUNTIF(Responses!$A$6:$A$205,A803)=1,B803&lt;&gt;"",COUNTIFS($A$6:$A$2005,A803,$B$6:$B$2005,B803)=1,OR(F803="Supported",F803="Unsupported",F803="Contradicted"),OR(G803="Supported",G803="Wrong citation",G803="Missing citation"),OR(H803="Yes",H803="No"),I803&lt;&gt;"",OR(F803&lt;&gt;"Supported",E803&lt;&gt;""),OR(G803&lt;&gt;"Supported",AND(F803="Supported",D803&lt;&gt;"",E803&lt;&gt;""))),"Yes","No"))</f>
        <v/>
      </c>
    </row>
    <row r="804" spans="11:11">
      <c r="K804" s="11">
        <f>IF(OR(A804="",C804=""),"",IF(AND(COUNTIF(Responses!$A$6:$A$205,A804)=1,B804&lt;&gt;"",COUNTIFS($A$6:$A$2005,A804,$B$6:$B$2005,B804)=1,OR(F804="Supported",F804="Unsupported",F804="Contradicted"),OR(G804="Supported",G804="Wrong citation",G804="Missing citation"),OR(H804="Yes",H804="No"),I804&lt;&gt;"",OR(F804&lt;&gt;"Supported",E804&lt;&gt;""),OR(G804&lt;&gt;"Supported",AND(F804="Supported",D804&lt;&gt;"",E804&lt;&gt;""))),"Yes","No"))</f>
        <v/>
      </c>
    </row>
    <row r="805" spans="11:11">
      <c r="K805" s="11">
        <f>IF(OR(A805="",C805=""),"",IF(AND(COUNTIF(Responses!$A$6:$A$205,A805)=1,B805&lt;&gt;"",COUNTIFS($A$6:$A$2005,A805,$B$6:$B$2005,B805)=1,OR(F805="Supported",F805="Unsupported",F805="Contradicted"),OR(G805="Supported",G805="Wrong citation",G805="Missing citation"),OR(H805="Yes",H805="No"),I805&lt;&gt;"",OR(F805&lt;&gt;"Supported",E805&lt;&gt;""),OR(G805&lt;&gt;"Supported",AND(F805="Supported",D805&lt;&gt;"",E805&lt;&gt;""))),"Yes","No"))</f>
        <v/>
      </c>
    </row>
    <row r="806" spans="11:11">
      <c r="K806" s="11">
        <f>IF(OR(A806="",C806=""),"",IF(AND(COUNTIF(Responses!$A$6:$A$205,A806)=1,B806&lt;&gt;"",COUNTIFS($A$6:$A$2005,A806,$B$6:$B$2005,B806)=1,OR(F806="Supported",F806="Unsupported",F806="Contradicted"),OR(G806="Supported",G806="Wrong citation",G806="Missing citation"),OR(H806="Yes",H806="No"),I806&lt;&gt;"",OR(F806&lt;&gt;"Supported",E806&lt;&gt;""),OR(G806&lt;&gt;"Supported",AND(F806="Supported",D806&lt;&gt;"",E806&lt;&gt;""))),"Yes","No"))</f>
        <v/>
      </c>
    </row>
    <row r="807" spans="11:11">
      <c r="K807" s="11">
        <f>IF(OR(A807="",C807=""),"",IF(AND(COUNTIF(Responses!$A$6:$A$205,A807)=1,B807&lt;&gt;"",COUNTIFS($A$6:$A$2005,A807,$B$6:$B$2005,B807)=1,OR(F807="Supported",F807="Unsupported",F807="Contradicted"),OR(G807="Supported",G807="Wrong citation",G807="Missing citation"),OR(H807="Yes",H807="No"),I807&lt;&gt;"",OR(F807&lt;&gt;"Supported",E807&lt;&gt;""),OR(G807&lt;&gt;"Supported",AND(F807="Supported",D807&lt;&gt;"",E807&lt;&gt;""))),"Yes","No"))</f>
        <v/>
      </c>
    </row>
    <row r="808" spans="11:11">
      <c r="K808" s="11">
        <f>IF(OR(A808="",C808=""),"",IF(AND(COUNTIF(Responses!$A$6:$A$205,A808)=1,B808&lt;&gt;"",COUNTIFS($A$6:$A$2005,A808,$B$6:$B$2005,B808)=1,OR(F808="Supported",F808="Unsupported",F808="Contradicted"),OR(G808="Supported",G808="Wrong citation",G808="Missing citation"),OR(H808="Yes",H808="No"),I808&lt;&gt;"",OR(F808&lt;&gt;"Supported",E808&lt;&gt;""),OR(G808&lt;&gt;"Supported",AND(F808="Supported",D808&lt;&gt;"",E808&lt;&gt;""))),"Yes","No"))</f>
        <v/>
      </c>
    </row>
    <row r="809" spans="11:11">
      <c r="K809" s="11">
        <f>IF(OR(A809="",C809=""),"",IF(AND(COUNTIF(Responses!$A$6:$A$205,A809)=1,B809&lt;&gt;"",COUNTIFS($A$6:$A$2005,A809,$B$6:$B$2005,B809)=1,OR(F809="Supported",F809="Unsupported",F809="Contradicted"),OR(G809="Supported",G809="Wrong citation",G809="Missing citation"),OR(H809="Yes",H809="No"),I809&lt;&gt;"",OR(F809&lt;&gt;"Supported",E809&lt;&gt;""),OR(G809&lt;&gt;"Supported",AND(F809="Supported",D809&lt;&gt;"",E809&lt;&gt;""))),"Yes","No"))</f>
        <v/>
      </c>
    </row>
    <row r="810" spans="11:11">
      <c r="K810" s="11">
        <f>IF(OR(A810="",C810=""),"",IF(AND(COUNTIF(Responses!$A$6:$A$205,A810)=1,B810&lt;&gt;"",COUNTIFS($A$6:$A$2005,A810,$B$6:$B$2005,B810)=1,OR(F810="Supported",F810="Unsupported",F810="Contradicted"),OR(G810="Supported",G810="Wrong citation",G810="Missing citation"),OR(H810="Yes",H810="No"),I810&lt;&gt;"",OR(F810&lt;&gt;"Supported",E810&lt;&gt;""),OR(G810&lt;&gt;"Supported",AND(F810="Supported",D810&lt;&gt;"",E810&lt;&gt;""))),"Yes","No"))</f>
        <v/>
      </c>
    </row>
    <row r="811" spans="11:11">
      <c r="K811" s="11">
        <f>IF(OR(A811="",C811=""),"",IF(AND(COUNTIF(Responses!$A$6:$A$205,A811)=1,B811&lt;&gt;"",COUNTIFS($A$6:$A$2005,A811,$B$6:$B$2005,B811)=1,OR(F811="Supported",F811="Unsupported",F811="Contradicted"),OR(G811="Supported",G811="Wrong citation",G811="Missing citation"),OR(H811="Yes",H811="No"),I811&lt;&gt;"",OR(F811&lt;&gt;"Supported",E811&lt;&gt;""),OR(G811&lt;&gt;"Supported",AND(F811="Supported",D811&lt;&gt;"",E811&lt;&gt;""))),"Yes","No"))</f>
        <v/>
      </c>
    </row>
    <row r="812" spans="11:11">
      <c r="K812" s="11">
        <f>IF(OR(A812="",C812=""),"",IF(AND(COUNTIF(Responses!$A$6:$A$205,A812)=1,B812&lt;&gt;"",COUNTIFS($A$6:$A$2005,A812,$B$6:$B$2005,B812)=1,OR(F812="Supported",F812="Unsupported",F812="Contradicted"),OR(G812="Supported",G812="Wrong citation",G812="Missing citation"),OR(H812="Yes",H812="No"),I812&lt;&gt;"",OR(F812&lt;&gt;"Supported",E812&lt;&gt;""),OR(G812&lt;&gt;"Supported",AND(F812="Supported",D812&lt;&gt;"",E812&lt;&gt;""))),"Yes","No"))</f>
        <v/>
      </c>
    </row>
    <row r="813" spans="11:11">
      <c r="K813" s="11">
        <f>IF(OR(A813="",C813=""),"",IF(AND(COUNTIF(Responses!$A$6:$A$205,A813)=1,B813&lt;&gt;"",COUNTIFS($A$6:$A$2005,A813,$B$6:$B$2005,B813)=1,OR(F813="Supported",F813="Unsupported",F813="Contradicted"),OR(G813="Supported",G813="Wrong citation",G813="Missing citation"),OR(H813="Yes",H813="No"),I813&lt;&gt;"",OR(F813&lt;&gt;"Supported",E813&lt;&gt;""),OR(G813&lt;&gt;"Supported",AND(F813="Supported",D813&lt;&gt;"",E813&lt;&gt;""))),"Yes","No"))</f>
        <v/>
      </c>
    </row>
    <row r="814" spans="11:11">
      <c r="K814" s="11">
        <f>IF(OR(A814="",C814=""),"",IF(AND(COUNTIF(Responses!$A$6:$A$205,A814)=1,B814&lt;&gt;"",COUNTIFS($A$6:$A$2005,A814,$B$6:$B$2005,B814)=1,OR(F814="Supported",F814="Unsupported",F814="Contradicted"),OR(G814="Supported",G814="Wrong citation",G814="Missing citation"),OR(H814="Yes",H814="No"),I814&lt;&gt;"",OR(F814&lt;&gt;"Supported",E814&lt;&gt;""),OR(G814&lt;&gt;"Supported",AND(F814="Supported",D814&lt;&gt;"",E814&lt;&gt;""))),"Yes","No"))</f>
        <v/>
      </c>
    </row>
    <row r="815" spans="11:11">
      <c r="K815" s="11">
        <f>IF(OR(A815="",C815=""),"",IF(AND(COUNTIF(Responses!$A$6:$A$205,A815)=1,B815&lt;&gt;"",COUNTIFS($A$6:$A$2005,A815,$B$6:$B$2005,B815)=1,OR(F815="Supported",F815="Unsupported",F815="Contradicted"),OR(G815="Supported",G815="Wrong citation",G815="Missing citation"),OR(H815="Yes",H815="No"),I815&lt;&gt;"",OR(F815&lt;&gt;"Supported",E815&lt;&gt;""),OR(G815&lt;&gt;"Supported",AND(F815="Supported",D815&lt;&gt;"",E815&lt;&gt;""))),"Yes","No"))</f>
        <v/>
      </c>
    </row>
    <row r="816" spans="11:11">
      <c r="K816" s="11">
        <f>IF(OR(A816="",C816=""),"",IF(AND(COUNTIF(Responses!$A$6:$A$205,A816)=1,B816&lt;&gt;"",COUNTIFS($A$6:$A$2005,A816,$B$6:$B$2005,B816)=1,OR(F816="Supported",F816="Unsupported",F816="Contradicted"),OR(G816="Supported",G816="Wrong citation",G816="Missing citation"),OR(H816="Yes",H816="No"),I816&lt;&gt;"",OR(F816&lt;&gt;"Supported",E816&lt;&gt;""),OR(G816&lt;&gt;"Supported",AND(F816="Supported",D816&lt;&gt;"",E816&lt;&gt;""))),"Yes","No"))</f>
        <v/>
      </c>
    </row>
    <row r="817" spans="11:11">
      <c r="K817" s="11">
        <f>IF(OR(A817="",C817=""),"",IF(AND(COUNTIF(Responses!$A$6:$A$205,A817)=1,B817&lt;&gt;"",COUNTIFS($A$6:$A$2005,A817,$B$6:$B$2005,B817)=1,OR(F817="Supported",F817="Unsupported",F817="Contradicted"),OR(G817="Supported",G817="Wrong citation",G817="Missing citation"),OR(H817="Yes",H817="No"),I817&lt;&gt;"",OR(F817&lt;&gt;"Supported",E817&lt;&gt;""),OR(G817&lt;&gt;"Supported",AND(F817="Supported",D817&lt;&gt;"",E817&lt;&gt;""))),"Yes","No"))</f>
        <v/>
      </c>
    </row>
    <row r="818" spans="11:11">
      <c r="K818" s="11">
        <f>IF(OR(A818="",C818=""),"",IF(AND(COUNTIF(Responses!$A$6:$A$205,A818)=1,B818&lt;&gt;"",COUNTIFS($A$6:$A$2005,A818,$B$6:$B$2005,B818)=1,OR(F818="Supported",F818="Unsupported",F818="Contradicted"),OR(G818="Supported",G818="Wrong citation",G818="Missing citation"),OR(H818="Yes",H818="No"),I818&lt;&gt;"",OR(F818&lt;&gt;"Supported",E818&lt;&gt;""),OR(G818&lt;&gt;"Supported",AND(F818="Supported",D818&lt;&gt;"",E818&lt;&gt;""))),"Yes","No"))</f>
        <v/>
      </c>
    </row>
    <row r="819" spans="11:11">
      <c r="K819" s="11">
        <f>IF(OR(A819="",C819=""),"",IF(AND(COUNTIF(Responses!$A$6:$A$205,A819)=1,B819&lt;&gt;"",COUNTIFS($A$6:$A$2005,A819,$B$6:$B$2005,B819)=1,OR(F819="Supported",F819="Unsupported",F819="Contradicted"),OR(G819="Supported",G819="Wrong citation",G819="Missing citation"),OR(H819="Yes",H819="No"),I819&lt;&gt;"",OR(F819&lt;&gt;"Supported",E819&lt;&gt;""),OR(G819&lt;&gt;"Supported",AND(F819="Supported",D819&lt;&gt;"",E819&lt;&gt;""))),"Yes","No"))</f>
        <v/>
      </c>
    </row>
    <row r="820" spans="11:11">
      <c r="K820" s="11">
        <f>IF(OR(A820="",C820=""),"",IF(AND(COUNTIF(Responses!$A$6:$A$205,A820)=1,B820&lt;&gt;"",COUNTIFS($A$6:$A$2005,A820,$B$6:$B$2005,B820)=1,OR(F820="Supported",F820="Unsupported",F820="Contradicted"),OR(G820="Supported",G820="Wrong citation",G820="Missing citation"),OR(H820="Yes",H820="No"),I820&lt;&gt;"",OR(F820&lt;&gt;"Supported",E820&lt;&gt;""),OR(G820&lt;&gt;"Supported",AND(F820="Supported",D820&lt;&gt;"",E820&lt;&gt;""))),"Yes","No"))</f>
        <v/>
      </c>
    </row>
    <row r="821" spans="11:11">
      <c r="K821" s="11">
        <f>IF(OR(A821="",C821=""),"",IF(AND(COUNTIF(Responses!$A$6:$A$205,A821)=1,B821&lt;&gt;"",COUNTIFS($A$6:$A$2005,A821,$B$6:$B$2005,B821)=1,OR(F821="Supported",F821="Unsupported",F821="Contradicted"),OR(G821="Supported",G821="Wrong citation",G821="Missing citation"),OR(H821="Yes",H821="No"),I821&lt;&gt;"",OR(F821&lt;&gt;"Supported",E821&lt;&gt;""),OR(G821&lt;&gt;"Supported",AND(F821="Supported",D821&lt;&gt;"",E821&lt;&gt;""))),"Yes","No"))</f>
        <v/>
      </c>
    </row>
    <row r="822" spans="11:11">
      <c r="K822" s="11">
        <f>IF(OR(A822="",C822=""),"",IF(AND(COUNTIF(Responses!$A$6:$A$205,A822)=1,B822&lt;&gt;"",COUNTIFS($A$6:$A$2005,A822,$B$6:$B$2005,B822)=1,OR(F822="Supported",F822="Unsupported",F822="Contradicted"),OR(G822="Supported",G822="Wrong citation",G822="Missing citation"),OR(H822="Yes",H822="No"),I822&lt;&gt;"",OR(F822&lt;&gt;"Supported",E822&lt;&gt;""),OR(G822&lt;&gt;"Supported",AND(F822="Supported",D822&lt;&gt;"",E822&lt;&gt;""))),"Yes","No"))</f>
        <v/>
      </c>
    </row>
    <row r="823" spans="11:11">
      <c r="K823" s="11">
        <f>IF(OR(A823="",C823=""),"",IF(AND(COUNTIF(Responses!$A$6:$A$205,A823)=1,B823&lt;&gt;"",COUNTIFS($A$6:$A$2005,A823,$B$6:$B$2005,B823)=1,OR(F823="Supported",F823="Unsupported",F823="Contradicted"),OR(G823="Supported",G823="Wrong citation",G823="Missing citation"),OR(H823="Yes",H823="No"),I823&lt;&gt;"",OR(F823&lt;&gt;"Supported",E823&lt;&gt;""),OR(G823&lt;&gt;"Supported",AND(F823="Supported",D823&lt;&gt;"",E823&lt;&gt;""))),"Yes","No"))</f>
        <v/>
      </c>
    </row>
    <row r="824" spans="11:11">
      <c r="K824" s="11">
        <f>IF(OR(A824="",C824=""),"",IF(AND(COUNTIF(Responses!$A$6:$A$205,A824)=1,B824&lt;&gt;"",COUNTIFS($A$6:$A$2005,A824,$B$6:$B$2005,B824)=1,OR(F824="Supported",F824="Unsupported",F824="Contradicted"),OR(G824="Supported",G824="Wrong citation",G824="Missing citation"),OR(H824="Yes",H824="No"),I824&lt;&gt;"",OR(F824&lt;&gt;"Supported",E824&lt;&gt;""),OR(G824&lt;&gt;"Supported",AND(F824="Supported",D824&lt;&gt;"",E824&lt;&gt;""))),"Yes","No"))</f>
        <v/>
      </c>
    </row>
    <row r="825" spans="11:11">
      <c r="K825" s="11">
        <f>IF(OR(A825="",C825=""),"",IF(AND(COUNTIF(Responses!$A$6:$A$205,A825)=1,B825&lt;&gt;"",COUNTIFS($A$6:$A$2005,A825,$B$6:$B$2005,B825)=1,OR(F825="Supported",F825="Unsupported",F825="Contradicted"),OR(G825="Supported",G825="Wrong citation",G825="Missing citation"),OR(H825="Yes",H825="No"),I825&lt;&gt;"",OR(F825&lt;&gt;"Supported",E825&lt;&gt;""),OR(G825&lt;&gt;"Supported",AND(F825="Supported",D825&lt;&gt;"",E825&lt;&gt;""))),"Yes","No"))</f>
        <v/>
      </c>
    </row>
    <row r="826" spans="11:11">
      <c r="K826" s="11">
        <f>IF(OR(A826="",C826=""),"",IF(AND(COUNTIF(Responses!$A$6:$A$205,A826)=1,B826&lt;&gt;"",COUNTIFS($A$6:$A$2005,A826,$B$6:$B$2005,B826)=1,OR(F826="Supported",F826="Unsupported",F826="Contradicted"),OR(G826="Supported",G826="Wrong citation",G826="Missing citation"),OR(H826="Yes",H826="No"),I826&lt;&gt;"",OR(F826&lt;&gt;"Supported",E826&lt;&gt;""),OR(G826&lt;&gt;"Supported",AND(F826="Supported",D826&lt;&gt;"",E826&lt;&gt;""))),"Yes","No"))</f>
        <v/>
      </c>
    </row>
    <row r="827" spans="11:11">
      <c r="K827" s="11">
        <f>IF(OR(A827="",C827=""),"",IF(AND(COUNTIF(Responses!$A$6:$A$205,A827)=1,B827&lt;&gt;"",COUNTIFS($A$6:$A$2005,A827,$B$6:$B$2005,B827)=1,OR(F827="Supported",F827="Unsupported",F827="Contradicted"),OR(G827="Supported",G827="Wrong citation",G827="Missing citation"),OR(H827="Yes",H827="No"),I827&lt;&gt;"",OR(F827&lt;&gt;"Supported",E827&lt;&gt;""),OR(G827&lt;&gt;"Supported",AND(F827="Supported",D827&lt;&gt;"",E827&lt;&gt;""))),"Yes","No"))</f>
        <v/>
      </c>
    </row>
    <row r="828" spans="11:11">
      <c r="K828" s="11">
        <f>IF(OR(A828="",C828=""),"",IF(AND(COUNTIF(Responses!$A$6:$A$205,A828)=1,B828&lt;&gt;"",COUNTIFS($A$6:$A$2005,A828,$B$6:$B$2005,B828)=1,OR(F828="Supported",F828="Unsupported",F828="Contradicted"),OR(G828="Supported",G828="Wrong citation",G828="Missing citation"),OR(H828="Yes",H828="No"),I828&lt;&gt;"",OR(F828&lt;&gt;"Supported",E828&lt;&gt;""),OR(G828&lt;&gt;"Supported",AND(F828="Supported",D828&lt;&gt;"",E828&lt;&gt;""))),"Yes","No"))</f>
        <v/>
      </c>
    </row>
    <row r="829" spans="11:11">
      <c r="K829" s="11">
        <f>IF(OR(A829="",C829=""),"",IF(AND(COUNTIF(Responses!$A$6:$A$205,A829)=1,B829&lt;&gt;"",COUNTIFS($A$6:$A$2005,A829,$B$6:$B$2005,B829)=1,OR(F829="Supported",F829="Unsupported",F829="Contradicted"),OR(G829="Supported",G829="Wrong citation",G829="Missing citation"),OR(H829="Yes",H829="No"),I829&lt;&gt;"",OR(F829&lt;&gt;"Supported",E829&lt;&gt;""),OR(G829&lt;&gt;"Supported",AND(F829="Supported",D829&lt;&gt;"",E829&lt;&gt;""))),"Yes","No"))</f>
        <v/>
      </c>
    </row>
    <row r="830" spans="11:11">
      <c r="K830" s="11">
        <f>IF(OR(A830="",C830=""),"",IF(AND(COUNTIF(Responses!$A$6:$A$205,A830)=1,B830&lt;&gt;"",COUNTIFS($A$6:$A$2005,A830,$B$6:$B$2005,B830)=1,OR(F830="Supported",F830="Unsupported",F830="Contradicted"),OR(G830="Supported",G830="Wrong citation",G830="Missing citation"),OR(H830="Yes",H830="No"),I830&lt;&gt;"",OR(F830&lt;&gt;"Supported",E830&lt;&gt;""),OR(G830&lt;&gt;"Supported",AND(F830="Supported",D830&lt;&gt;"",E830&lt;&gt;""))),"Yes","No"))</f>
        <v/>
      </c>
    </row>
    <row r="831" spans="11:11">
      <c r="K831" s="11">
        <f>IF(OR(A831="",C831=""),"",IF(AND(COUNTIF(Responses!$A$6:$A$205,A831)=1,B831&lt;&gt;"",COUNTIFS($A$6:$A$2005,A831,$B$6:$B$2005,B831)=1,OR(F831="Supported",F831="Unsupported",F831="Contradicted"),OR(G831="Supported",G831="Wrong citation",G831="Missing citation"),OR(H831="Yes",H831="No"),I831&lt;&gt;"",OR(F831&lt;&gt;"Supported",E831&lt;&gt;""),OR(G831&lt;&gt;"Supported",AND(F831="Supported",D831&lt;&gt;"",E831&lt;&gt;""))),"Yes","No"))</f>
        <v/>
      </c>
    </row>
    <row r="832" spans="11:11">
      <c r="K832" s="11">
        <f>IF(OR(A832="",C832=""),"",IF(AND(COUNTIF(Responses!$A$6:$A$205,A832)=1,B832&lt;&gt;"",COUNTIFS($A$6:$A$2005,A832,$B$6:$B$2005,B832)=1,OR(F832="Supported",F832="Unsupported",F832="Contradicted"),OR(G832="Supported",G832="Wrong citation",G832="Missing citation"),OR(H832="Yes",H832="No"),I832&lt;&gt;"",OR(F832&lt;&gt;"Supported",E832&lt;&gt;""),OR(G832&lt;&gt;"Supported",AND(F832="Supported",D832&lt;&gt;"",E832&lt;&gt;""))),"Yes","No"))</f>
        <v/>
      </c>
    </row>
    <row r="833" spans="11:11">
      <c r="K833" s="11">
        <f>IF(OR(A833="",C833=""),"",IF(AND(COUNTIF(Responses!$A$6:$A$205,A833)=1,B833&lt;&gt;"",COUNTIFS($A$6:$A$2005,A833,$B$6:$B$2005,B833)=1,OR(F833="Supported",F833="Unsupported",F833="Contradicted"),OR(G833="Supported",G833="Wrong citation",G833="Missing citation"),OR(H833="Yes",H833="No"),I833&lt;&gt;"",OR(F833&lt;&gt;"Supported",E833&lt;&gt;""),OR(G833&lt;&gt;"Supported",AND(F833="Supported",D833&lt;&gt;"",E833&lt;&gt;""))),"Yes","No"))</f>
        <v/>
      </c>
    </row>
    <row r="834" spans="11:11">
      <c r="K834" s="11">
        <f>IF(OR(A834="",C834=""),"",IF(AND(COUNTIF(Responses!$A$6:$A$205,A834)=1,B834&lt;&gt;"",COUNTIFS($A$6:$A$2005,A834,$B$6:$B$2005,B834)=1,OR(F834="Supported",F834="Unsupported",F834="Contradicted"),OR(G834="Supported",G834="Wrong citation",G834="Missing citation"),OR(H834="Yes",H834="No"),I834&lt;&gt;"",OR(F834&lt;&gt;"Supported",E834&lt;&gt;""),OR(G834&lt;&gt;"Supported",AND(F834="Supported",D834&lt;&gt;"",E834&lt;&gt;""))),"Yes","No"))</f>
        <v/>
      </c>
    </row>
    <row r="835" spans="11:11">
      <c r="K835" s="11">
        <f>IF(OR(A835="",C835=""),"",IF(AND(COUNTIF(Responses!$A$6:$A$205,A835)=1,B835&lt;&gt;"",COUNTIFS($A$6:$A$2005,A835,$B$6:$B$2005,B835)=1,OR(F835="Supported",F835="Unsupported",F835="Contradicted"),OR(G835="Supported",G835="Wrong citation",G835="Missing citation"),OR(H835="Yes",H835="No"),I835&lt;&gt;"",OR(F835&lt;&gt;"Supported",E835&lt;&gt;""),OR(G835&lt;&gt;"Supported",AND(F835="Supported",D835&lt;&gt;"",E835&lt;&gt;""))),"Yes","No"))</f>
        <v/>
      </c>
    </row>
    <row r="836" spans="11:11">
      <c r="K836" s="11">
        <f>IF(OR(A836="",C836=""),"",IF(AND(COUNTIF(Responses!$A$6:$A$205,A836)=1,B836&lt;&gt;"",COUNTIFS($A$6:$A$2005,A836,$B$6:$B$2005,B836)=1,OR(F836="Supported",F836="Unsupported",F836="Contradicted"),OR(G836="Supported",G836="Wrong citation",G836="Missing citation"),OR(H836="Yes",H836="No"),I836&lt;&gt;"",OR(F836&lt;&gt;"Supported",E836&lt;&gt;""),OR(G836&lt;&gt;"Supported",AND(F836="Supported",D836&lt;&gt;"",E836&lt;&gt;""))),"Yes","No"))</f>
        <v/>
      </c>
    </row>
    <row r="837" spans="11:11">
      <c r="K837" s="11">
        <f>IF(OR(A837="",C837=""),"",IF(AND(COUNTIF(Responses!$A$6:$A$205,A837)=1,B837&lt;&gt;"",COUNTIFS($A$6:$A$2005,A837,$B$6:$B$2005,B837)=1,OR(F837="Supported",F837="Unsupported",F837="Contradicted"),OR(G837="Supported",G837="Wrong citation",G837="Missing citation"),OR(H837="Yes",H837="No"),I837&lt;&gt;"",OR(F837&lt;&gt;"Supported",E837&lt;&gt;""),OR(G837&lt;&gt;"Supported",AND(F837="Supported",D837&lt;&gt;"",E837&lt;&gt;""))),"Yes","No"))</f>
        <v/>
      </c>
    </row>
    <row r="838" spans="11:11">
      <c r="K838" s="11">
        <f>IF(OR(A838="",C838=""),"",IF(AND(COUNTIF(Responses!$A$6:$A$205,A838)=1,B838&lt;&gt;"",COUNTIFS($A$6:$A$2005,A838,$B$6:$B$2005,B838)=1,OR(F838="Supported",F838="Unsupported",F838="Contradicted"),OR(G838="Supported",G838="Wrong citation",G838="Missing citation"),OR(H838="Yes",H838="No"),I838&lt;&gt;"",OR(F838&lt;&gt;"Supported",E838&lt;&gt;""),OR(G838&lt;&gt;"Supported",AND(F838="Supported",D838&lt;&gt;"",E838&lt;&gt;""))),"Yes","No"))</f>
        <v/>
      </c>
    </row>
    <row r="839" spans="11:11">
      <c r="K839" s="11">
        <f>IF(OR(A839="",C839=""),"",IF(AND(COUNTIF(Responses!$A$6:$A$205,A839)=1,B839&lt;&gt;"",COUNTIFS($A$6:$A$2005,A839,$B$6:$B$2005,B839)=1,OR(F839="Supported",F839="Unsupported",F839="Contradicted"),OR(G839="Supported",G839="Wrong citation",G839="Missing citation"),OR(H839="Yes",H839="No"),I839&lt;&gt;"",OR(F839&lt;&gt;"Supported",E839&lt;&gt;""),OR(G839&lt;&gt;"Supported",AND(F839="Supported",D839&lt;&gt;"",E839&lt;&gt;""))),"Yes","No"))</f>
        <v/>
      </c>
    </row>
    <row r="840" spans="11:11">
      <c r="K840" s="11">
        <f>IF(OR(A840="",C840=""),"",IF(AND(COUNTIF(Responses!$A$6:$A$205,A840)=1,B840&lt;&gt;"",COUNTIFS($A$6:$A$2005,A840,$B$6:$B$2005,B840)=1,OR(F840="Supported",F840="Unsupported",F840="Contradicted"),OR(G840="Supported",G840="Wrong citation",G840="Missing citation"),OR(H840="Yes",H840="No"),I840&lt;&gt;"",OR(F840&lt;&gt;"Supported",E840&lt;&gt;""),OR(G840&lt;&gt;"Supported",AND(F840="Supported",D840&lt;&gt;"",E840&lt;&gt;""))),"Yes","No"))</f>
        <v/>
      </c>
    </row>
    <row r="841" spans="11:11">
      <c r="K841" s="11">
        <f>IF(OR(A841="",C841=""),"",IF(AND(COUNTIF(Responses!$A$6:$A$205,A841)=1,B841&lt;&gt;"",COUNTIFS($A$6:$A$2005,A841,$B$6:$B$2005,B841)=1,OR(F841="Supported",F841="Unsupported",F841="Contradicted"),OR(G841="Supported",G841="Wrong citation",G841="Missing citation"),OR(H841="Yes",H841="No"),I841&lt;&gt;"",OR(F841&lt;&gt;"Supported",E841&lt;&gt;""),OR(G841&lt;&gt;"Supported",AND(F841="Supported",D841&lt;&gt;"",E841&lt;&gt;""))),"Yes","No"))</f>
        <v/>
      </c>
    </row>
    <row r="842" spans="11:11">
      <c r="K842" s="11">
        <f>IF(OR(A842="",C842=""),"",IF(AND(COUNTIF(Responses!$A$6:$A$205,A842)=1,B842&lt;&gt;"",COUNTIFS($A$6:$A$2005,A842,$B$6:$B$2005,B842)=1,OR(F842="Supported",F842="Unsupported",F842="Contradicted"),OR(G842="Supported",G842="Wrong citation",G842="Missing citation"),OR(H842="Yes",H842="No"),I842&lt;&gt;"",OR(F842&lt;&gt;"Supported",E842&lt;&gt;""),OR(G842&lt;&gt;"Supported",AND(F842="Supported",D842&lt;&gt;"",E842&lt;&gt;""))),"Yes","No"))</f>
        <v/>
      </c>
    </row>
    <row r="843" spans="11:11">
      <c r="K843" s="11">
        <f>IF(OR(A843="",C843=""),"",IF(AND(COUNTIF(Responses!$A$6:$A$205,A843)=1,B843&lt;&gt;"",COUNTIFS($A$6:$A$2005,A843,$B$6:$B$2005,B843)=1,OR(F843="Supported",F843="Unsupported",F843="Contradicted"),OR(G843="Supported",G843="Wrong citation",G843="Missing citation"),OR(H843="Yes",H843="No"),I843&lt;&gt;"",OR(F843&lt;&gt;"Supported",E843&lt;&gt;""),OR(G843&lt;&gt;"Supported",AND(F843="Supported",D843&lt;&gt;"",E843&lt;&gt;""))),"Yes","No"))</f>
        <v/>
      </c>
    </row>
    <row r="844" spans="11:11">
      <c r="K844" s="11">
        <f>IF(OR(A844="",C844=""),"",IF(AND(COUNTIF(Responses!$A$6:$A$205,A844)=1,B844&lt;&gt;"",COUNTIFS($A$6:$A$2005,A844,$B$6:$B$2005,B844)=1,OR(F844="Supported",F844="Unsupported",F844="Contradicted"),OR(G844="Supported",G844="Wrong citation",G844="Missing citation"),OR(H844="Yes",H844="No"),I844&lt;&gt;"",OR(F844&lt;&gt;"Supported",E844&lt;&gt;""),OR(G844&lt;&gt;"Supported",AND(F844="Supported",D844&lt;&gt;"",E844&lt;&gt;""))),"Yes","No"))</f>
        <v/>
      </c>
    </row>
    <row r="845" spans="11:11">
      <c r="K845" s="11">
        <f>IF(OR(A845="",C845=""),"",IF(AND(COUNTIF(Responses!$A$6:$A$205,A845)=1,B845&lt;&gt;"",COUNTIFS($A$6:$A$2005,A845,$B$6:$B$2005,B845)=1,OR(F845="Supported",F845="Unsupported",F845="Contradicted"),OR(G845="Supported",G845="Wrong citation",G845="Missing citation"),OR(H845="Yes",H845="No"),I845&lt;&gt;"",OR(F845&lt;&gt;"Supported",E845&lt;&gt;""),OR(G845&lt;&gt;"Supported",AND(F845="Supported",D845&lt;&gt;"",E845&lt;&gt;""))),"Yes","No"))</f>
        <v/>
      </c>
    </row>
    <row r="846" spans="11:11">
      <c r="K846" s="11">
        <f>IF(OR(A846="",C846=""),"",IF(AND(COUNTIF(Responses!$A$6:$A$205,A846)=1,B846&lt;&gt;"",COUNTIFS($A$6:$A$2005,A846,$B$6:$B$2005,B846)=1,OR(F846="Supported",F846="Unsupported",F846="Contradicted"),OR(G846="Supported",G846="Wrong citation",G846="Missing citation"),OR(H846="Yes",H846="No"),I846&lt;&gt;"",OR(F846&lt;&gt;"Supported",E846&lt;&gt;""),OR(G846&lt;&gt;"Supported",AND(F846="Supported",D846&lt;&gt;"",E846&lt;&gt;""))),"Yes","No"))</f>
        <v/>
      </c>
    </row>
    <row r="847" spans="11:11">
      <c r="K847" s="11">
        <f>IF(OR(A847="",C847=""),"",IF(AND(COUNTIF(Responses!$A$6:$A$205,A847)=1,B847&lt;&gt;"",COUNTIFS($A$6:$A$2005,A847,$B$6:$B$2005,B847)=1,OR(F847="Supported",F847="Unsupported",F847="Contradicted"),OR(G847="Supported",G847="Wrong citation",G847="Missing citation"),OR(H847="Yes",H847="No"),I847&lt;&gt;"",OR(F847&lt;&gt;"Supported",E847&lt;&gt;""),OR(G847&lt;&gt;"Supported",AND(F847="Supported",D847&lt;&gt;"",E847&lt;&gt;""))),"Yes","No"))</f>
        <v/>
      </c>
    </row>
    <row r="848" spans="11:11">
      <c r="K848" s="11">
        <f>IF(OR(A848="",C848=""),"",IF(AND(COUNTIF(Responses!$A$6:$A$205,A848)=1,B848&lt;&gt;"",COUNTIFS($A$6:$A$2005,A848,$B$6:$B$2005,B848)=1,OR(F848="Supported",F848="Unsupported",F848="Contradicted"),OR(G848="Supported",G848="Wrong citation",G848="Missing citation"),OR(H848="Yes",H848="No"),I848&lt;&gt;"",OR(F848&lt;&gt;"Supported",E848&lt;&gt;""),OR(G848&lt;&gt;"Supported",AND(F848="Supported",D848&lt;&gt;"",E848&lt;&gt;""))),"Yes","No"))</f>
        <v/>
      </c>
    </row>
    <row r="849" spans="11:11">
      <c r="K849" s="11">
        <f>IF(OR(A849="",C849=""),"",IF(AND(COUNTIF(Responses!$A$6:$A$205,A849)=1,B849&lt;&gt;"",COUNTIFS($A$6:$A$2005,A849,$B$6:$B$2005,B849)=1,OR(F849="Supported",F849="Unsupported",F849="Contradicted"),OR(G849="Supported",G849="Wrong citation",G849="Missing citation"),OR(H849="Yes",H849="No"),I849&lt;&gt;"",OR(F849&lt;&gt;"Supported",E849&lt;&gt;""),OR(G849&lt;&gt;"Supported",AND(F849="Supported",D849&lt;&gt;"",E849&lt;&gt;""))),"Yes","No"))</f>
        <v/>
      </c>
    </row>
    <row r="850" spans="11:11">
      <c r="K850" s="11">
        <f>IF(OR(A850="",C850=""),"",IF(AND(COUNTIF(Responses!$A$6:$A$205,A850)=1,B850&lt;&gt;"",COUNTIFS($A$6:$A$2005,A850,$B$6:$B$2005,B850)=1,OR(F850="Supported",F850="Unsupported",F850="Contradicted"),OR(G850="Supported",G850="Wrong citation",G850="Missing citation"),OR(H850="Yes",H850="No"),I850&lt;&gt;"",OR(F850&lt;&gt;"Supported",E850&lt;&gt;""),OR(G850&lt;&gt;"Supported",AND(F850="Supported",D850&lt;&gt;"",E850&lt;&gt;""))),"Yes","No"))</f>
        <v/>
      </c>
    </row>
    <row r="851" spans="11:11">
      <c r="K851" s="11">
        <f>IF(OR(A851="",C851=""),"",IF(AND(COUNTIF(Responses!$A$6:$A$205,A851)=1,B851&lt;&gt;"",COUNTIFS($A$6:$A$2005,A851,$B$6:$B$2005,B851)=1,OR(F851="Supported",F851="Unsupported",F851="Contradicted"),OR(G851="Supported",G851="Wrong citation",G851="Missing citation"),OR(H851="Yes",H851="No"),I851&lt;&gt;"",OR(F851&lt;&gt;"Supported",E851&lt;&gt;""),OR(G851&lt;&gt;"Supported",AND(F851="Supported",D851&lt;&gt;"",E851&lt;&gt;""))),"Yes","No"))</f>
        <v/>
      </c>
    </row>
    <row r="852" spans="11:11">
      <c r="K852" s="11">
        <f>IF(OR(A852="",C852=""),"",IF(AND(COUNTIF(Responses!$A$6:$A$205,A852)=1,B852&lt;&gt;"",COUNTIFS($A$6:$A$2005,A852,$B$6:$B$2005,B852)=1,OR(F852="Supported",F852="Unsupported",F852="Contradicted"),OR(G852="Supported",G852="Wrong citation",G852="Missing citation"),OR(H852="Yes",H852="No"),I852&lt;&gt;"",OR(F852&lt;&gt;"Supported",E852&lt;&gt;""),OR(G852&lt;&gt;"Supported",AND(F852="Supported",D852&lt;&gt;"",E852&lt;&gt;""))),"Yes","No"))</f>
        <v/>
      </c>
    </row>
    <row r="853" spans="11:11">
      <c r="K853" s="11">
        <f>IF(OR(A853="",C853=""),"",IF(AND(COUNTIF(Responses!$A$6:$A$205,A853)=1,B853&lt;&gt;"",COUNTIFS($A$6:$A$2005,A853,$B$6:$B$2005,B853)=1,OR(F853="Supported",F853="Unsupported",F853="Contradicted"),OR(G853="Supported",G853="Wrong citation",G853="Missing citation"),OR(H853="Yes",H853="No"),I853&lt;&gt;"",OR(F853&lt;&gt;"Supported",E853&lt;&gt;""),OR(G853&lt;&gt;"Supported",AND(F853="Supported",D853&lt;&gt;"",E853&lt;&gt;""))),"Yes","No"))</f>
        <v/>
      </c>
    </row>
    <row r="854" spans="11:11">
      <c r="K854" s="11">
        <f>IF(OR(A854="",C854=""),"",IF(AND(COUNTIF(Responses!$A$6:$A$205,A854)=1,B854&lt;&gt;"",COUNTIFS($A$6:$A$2005,A854,$B$6:$B$2005,B854)=1,OR(F854="Supported",F854="Unsupported",F854="Contradicted"),OR(G854="Supported",G854="Wrong citation",G854="Missing citation"),OR(H854="Yes",H854="No"),I854&lt;&gt;"",OR(F854&lt;&gt;"Supported",E854&lt;&gt;""),OR(G854&lt;&gt;"Supported",AND(F854="Supported",D854&lt;&gt;"",E854&lt;&gt;""))),"Yes","No"))</f>
        <v/>
      </c>
    </row>
    <row r="855" spans="11:11">
      <c r="K855" s="11">
        <f>IF(OR(A855="",C855=""),"",IF(AND(COUNTIF(Responses!$A$6:$A$205,A855)=1,B855&lt;&gt;"",COUNTIFS($A$6:$A$2005,A855,$B$6:$B$2005,B855)=1,OR(F855="Supported",F855="Unsupported",F855="Contradicted"),OR(G855="Supported",G855="Wrong citation",G855="Missing citation"),OR(H855="Yes",H855="No"),I855&lt;&gt;"",OR(F855&lt;&gt;"Supported",E855&lt;&gt;""),OR(G855&lt;&gt;"Supported",AND(F855="Supported",D855&lt;&gt;"",E855&lt;&gt;""))),"Yes","No"))</f>
        <v/>
      </c>
    </row>
    <row r="856" spans="11:11">
      <c r="K856" s="11">
        <f>IF(OR(A856="",C856=""),"",IF(AND(COUNTIF(Responses!$A$6:$A$205,A856)=1,B856&lt;&gt;"",COUNTIFS($A$6:$A$2005,A856,$B$6:$B$2005,B856)=1,OR(F856="Supported",F856="Unsupported",F856="Contradicted"),OR(G856="Supported",G856="Wrong citation",G856="Missing citation"),OR(H856="Yes",H856="No"),I856&lt;&gt;"",OR(F856&lt;&gt;"Supported",E856&lt;&gt;""),OR(G856&lt;&gt;"Supported",AND(F856="Supported",D856&lt;&gt;"",E856&lt;&gt;""))),"Yes","No"))</f>
        <v/>
      </c>
    </row>
    <row r="857" spans="11:11">
      <c r="K857" s="11">
        <f>IF(OR(A857="",C857=""),"",IF(AND(COUNTIF(Responses!$A$6:$A$205,A857)=1,B857&lt;&gt;"",COUNTIFS($A$6:$A$2005,A857,$B$6:$B$2005,B857)=1,OR(F857="Supported",F857="Unsupported",F857="Contradicted"),OR(G857="Supported",G857="Wrong citation",G857="Missing citation"),OR(H857="Yes",H857="No"),I857&lt;&gt;"",OR(F857&lt;&gt;"Supported",E857&lt;&gt;""),OR(G857&lt;&gt;"Supported",AND(F857="Supported",D857&lt;&gt;"",E857&lt;&gt;""))),"Yes","No"))</f>
        <v/>
      </c>
    </row>
    <row r="858" spans="11:11">
      <c r="K858" s="11">
        <f>IF(OR(A858="",C858=""),"",IF(AND(COUNTIF(Responses!$A$6:$A$205,A858)=1,B858&lt;&gt;"",COUNTIFS($A$6:$A$2005,A858,$B$6:$B$2005,B858)=1,OR(F858="Supported",F858="Unsupported",F858="Contradicted"),OR(G858="Supported",G858="Wrong citation",G858="Missing citation"),OR(H858="Yes",H858="No"),I858&lt;&gt;"",OR(F858&lt;&gt;"Supported",E858&lt;&gt;""),OR(G858&lt;&gt;"Supported",AND(F858="Supported",D858&lt;&gt;"",E858&lt;&gt;""))),"Yes","No"))</f>
        <v/>
      </c>
    </row>
    <row r="859" spans="11:11">
      <c r="K859" s="11">
        <f>IF(OR(A859="",C859=""),"",IF(AND(COUNTIF(Responses!$A$6:$A$205,A859)=1,B859&lt;&gt;"",COUNTIFS($A$6:$A$2005,A859,$B$6:$B$2005,B859)=1,OR(F859="Supported",F859="Unsupported",F859="Contradicted"),OR(G859="Supported",G859="Wrong citation",G859="Missing citation"),OR(H859="Yes",H859="No"),I859&lt;&gt;"",OR(F859&lt;&gt;"Supported",E859&lt;&gt;""),OR(G859&lt;&gt;"Supported",AND(F859="Supported",D859&lt;&gt;"",E859&lt;&gt;""))),"Yes","No"))</f>
        <v/>
      </c>
    </row>
    <row r="860" spans="11:11">
      <c r="K860" s="11">
        <f>IF(OR(A860="",C860=""),"",IF(AND(COUNTIF(Responses!$A$6:$A$205,A860)=1,B860&lt;&gt;"",COUNTIFS($A$6:$A$2005,A860,$B$6:$B$2005,B860)=1,OR(F860="Supported",F860="Unsupported",F860="Contradicted"),OR(G860="Supported",G860="Wrong citation",G860="Missing citation"),OR(H860="Yes",H860="No"),I860&lt;&gt;"",OR(F860&lt;&gt;"Supported",E860&lt;&gt;""),OR(G860&lt;&gt;"Supported",AND(F860="Supported",D860&lt;&gt;"",E860&lt;&gt;""))),"Yes","No"))</f>
        <v/>
      </c>
    </row>
    <row r="861" spans="11:11">
      <c r="K861" s="11">
        <f>IF(OR(A861="",C861=""),"",IF(AND(COUNTIF(Responses!$A$6:$A$205,A861)=1,B861&lt;&gt;"",COUNTIFS($A$6:$A$2005,A861,$B$6:$B$2005,B861)=1,OR(F861="Supported",F861="Unsupported",F861="Contradicted"),OR(G861="Supported",G861="Wrong citation",G861="Missing citation"),OR(H861="Yes",H861="No"),I861&lt;&gt;"",OR(F861&lt;&gt;"Supported",E861&lt;&gt;""),OR(G861&lt;&gt;"Supported",AND(F861="Supported",D861&lt;&gt;"",E861&lt;&gt;""))),"Yes","No"))</f>
        <v/>
      </c>
    </row>
    <row r="862" spans="11:11">
      <c r="K862" s="11">
        <f>IF(OR(A862="",C862=""),"",IF(AND(COUNTIF(Responses!$A$6:$A$205,A862)=1,B862&lt;&gt;"",COUNTIFS($A$6:$A$2005,A862,$B$6:$B$2005,B862)=1,OR(F862="Supported",F862="Unsupported",F862="Contradicted"),OR(G862="Supported",G862="Wrong citation",G862="Missing citation"),OR(H862="Yes",H862="No"),I862&lt;&gt;"",OR(F862&lt;&gt;"Supported",E862&lt;&gt;""),OR(G862&lt;&gt;"Supported",AND(F862="Supported",D862&lt;&gt;"",E862&lt;&gt;""))),"Yes","No"))</f>
        <v/>
      </c>
    </row>
    <row r="863" spans="11:11">
      <c r="K863" s="11">
        <f>IF(OR(A863="",C863=""),"",IF(AND(COUNTIF(Responses!$A$6:$A$205,A863)=1,B863&lt;&gt;"",COUNTIFS($A$6:$A$2005,A863,$B$6:$B$2005,B863)=1,OR(F863="Supported",F863="Unsupported",F863="Contradicted"),OR(G863="Supported",G863="Wrong citation",G863="Missing citation"),OR(H863="Yes",H863="No"),I863&lt;&gt;"",OR(F863&lt;&gt;"Supported",E863&lt;&gt;""),OR(G863&lt;&gt;"Supported",AND(F863="Supported",D863&lt;&gt;"",E863&lt;&gt;""))),"Yes","No"))</f>
        <v/>
      </c>
    </row>
    <row r="864" spans="11:11">
      <c r="K864" s="11">
        <f>IF(OR(A864="",C864=""),"",IF(AND(COUNTIF(Responses!$A$6:$A$205,A864)=1,B864&lt;&gt;"",COUNTIFS($A$6:$A$2005,A864,$B$6:$B$2005,B864)=1,OR(F864="Supported",F864="Unsupported",F864="Contradicted"),OR(G864="Supported",G864="Wrong citation",G864="Missing citation"),OR(H864="Yes",H864="No"),I864&lt;&gt;"",OR(F864&lt;&gt;"Supported",E864&lt;&gt;""),OR(G864&lt;&gt;"Supported",AND(F864="Supported",D864&lt;&gt;"",E864&lt;&gt;""))),"Yes","No"))</f>
        <v/>
      </c>
    </row>
    <row r="865" spans="11:11">
      <c r="K865" s="11">
        <f>IF(OR(A865="",C865=""),"",IF(AND(COUNTIF(Responses!$A$6:$A$205,A865)=1,B865&lt;&gt;"",COUNTIFS($A$6:$A$2005,A865,$B$6:$B$2005,B865)=1,OR(F865="Supported",F865="Unsupported",F865="Contradicted"),OR(G865="Supported",G865="Wrong citation",G865="Missing citation"),OR(H865="Yes",H865="No"),I865&lt;&gt;"",OR(F865&lt;&gt;"Supported",E865&lt;&gt;""),OR(G865&lt;&gt;"Supported",AND(F865="Supported",D865&lt;&gt;"",E865&lt;&gt;""))),"Yes","No"))</f>
        <v/>
      </c>
    </row>
    <row r="866" spans="11:11">
      <c r="K866" s="11">
        <f>IF(OR(A866="",C866=""),"",IF(AND(COUNTIF(Responses!$A$6:$A$205,A866)=1,B866&lt;&gt;"",COUNTIFS($A$6:$A$2005,A866,$B$6:$B$2005,B866)=1,OR(F866="Supported",F866="Unsupported",F866="Contradicted"),OR(G866="Supported",G866="Wrong citation",G866="Missing citation"),OR(H866="Yes",H866="No"),I866&lt;&gt;"",OR(F866&lt;&gt;"Supported",E866&lt;&gt;""),OR(G866&lt;&gt;"Supported",AND(F866="Supported",D866&lt;&gt;"",E866&lt;&gt;""))),"Yes","No"))</f>
        <v/>
      </c>
    </row>
    <row r="867" spans="11:11">
      <c r="K867" s="11">
        <f>IF(OR(A867="",C867=""),"",IF(AND(COUNTIF(Responses!$A$6:$A$205,A867)=1,B867&lt;&gt;"",COUNTIFS($A$6:$A$2005,A867,$B$6:$B$2005,B867)=1,OR(F867="Supported",F867="Unsupported",F867="Contradicted"),OR(G867="Supported",G867="Wrong citation",G867="Missing citation"),OR(H867="Yes",H867="No"),I867&lt;&gt;"",OR(F867&lt;&gt;"Supported",E867&lt;&gt;""),OR(G867&lt;&gt;"Supported",AND(F867="Supported",D867&lt;&gt;"",E867&lt;&gt;""))),"Yes","No"))</f>
        <v/>
      </c>
    </row>
    <row r="868" spans="11:11">
      <c r="K868" s="11">
        <f>IF(OR(A868="",C868=""),"",IF(AND(COUNTIF(Responses!$A$6:$A$205,A868)=1,B868&lt;&gt;"",COUNTIFS($A$6:$A$2005,A868,$B$6:$B$2005,B868)=1,OR(F868="Supported",F868="Unsupported",F868="Contradicted"),OR(G868="Supported",G868="Wrong citation",G868="Missing citation"),OR(H868="Yes",H868="No"),I868&lt;&gt;"",OR(F868&lt;&gt;"Supported",E868&lt;&gt;""),OR(G868&lt;&gt;"Supported",AND(F868="Supported",D868&lt;&gt;"",E868&lt;&gt;""))),"Yes","No"))</f>
        <v/>
      </c>
    </row>
    <row r="869" spans="11:11">
      <c r="K869" s="11">
        <f>IF(OR(A869="",C869=""),"",IF(AND(COUNTIF(Responses!$A$6:$A$205,A869)=1,B869&lt;&gt;"",COUNTIFS($A$6:$A$2005,A869,$B$6:$B$2005,B869)=1,OR(F869="Supported",F869="Unsupported",F869="Contradicted"),OR(G869="Supported",G869="Wrong citation",G869="Missing citation"),OR(H869="Yes",H869="No"),I869&lt;&gt;"",OR(F869&lt;&gt;"Supported",E869&lt;&gt;""),OR(G869&lt;&gt;"Supported",AND(F869="Supported",D869&lt;&gt;"",E869&lt;&gt;""))),"Yes","No"))</f>
        <v/>
      </c>
    </row>
    <row r="870" spans="11:11">
      <c r="K870" s="11">
        <f>IF(OR(A870="",C870=""),"",IF(AND(COUNTIF(Responses!$A$6:$A$205,A870)=1,B870&lt;&gt;"",COUNTIFS($A$6:$A$2005,A870,$B$6:$B$2005,B870)=1,OR(F870="Supported",F870="Unsupported",F870="Contradicted"),OR(G870="Supported",G870="Wrong citation",G870="Missing citation"),OR(H870="Yes",H870="No"),I870&lt;&gt;"",OR(F870&lt;&gt;"Supported",E870&lt;&gt;""),OR(G870&lt;&gt;"Supported",AND(F870="Supported",D870&lt;&gt;"",E870&lt;&gt;""))),"Yes","No"))</f>
        <v/>
      </c>
    </row>
    <row r="871" spans="11:11">
      <c r="K871" s="11">
        <f>IF(OR(A871="",C871=""),"",IF(AND(COUNTIF(Responses!$A$6:$A$205,A871)=1,B871&lt;&gt;"",COUNTIFS($A$6:$A$2005,A871,$B$6:$B$2005,B871)=1,OR(F871="Supported",F871="Unsupported",F871="Contradicted"),OR(G871="Supported",G871="Wrong citation",G871="Missing citation"),OR(H871="Yes",H871="No"),I871&lt;&gt;"",OR(F871&lt;&gt;"Supported",E871&lt;&gt;""),OR(G871&lt;&gt;"Supported",AND(F871="Supported",D871&lt;&gt;"",E871&lt;&gt;""))),"Yes","No"))</f>
        <v/>
      </c>
    </row>
    <row r="872" spans="11:11">
      <c r="K872" s="11">
        <f>IF(OR(A872="",C872=""),"",IF(AND(COUNTIF(Responses!$A$6:$A$205,A872)=1,B872&lt;&gt;"",COUNTIFS($A$6:$A$2005,A872,$B$6:$B$2005,B872)=1,OR(F872="Supported",F872="Unsupported",F872="Contradicted"),OR(G872="Supported",G872="Wrong citation",G872="Missing citation"),OR(H872="Yes",H872="No"),I872&lt;&gt;"",OR(F872&lt;&gt;"Supported",E872&lt;&gt;""),OR(G872&lt;&gt;"Supported",AND(F872="Supported",D872&lt;&gt;"",E872&lt;&gt;""))),"Yes","No"))</f>
        <v/>
      </c>
    </row>
    <row r="873" spans="11:11">
      <c r="K873" s="11">
        <f>IF(OR(A873="",C873=""),"",IF(AND(COUNTIF(Responses!$A$6:$A$205,A873)=1,B873&lt;&gt;"",COUNTIFS($A$6:$A$2005,A873,$B$6:$B$2005,B873)=1,OR(F873="Supported",F873="Unsupported",F873="Contradicted"),OR(G873="Supported",G873="Wrong citation",G873="Missing citation"),OR(H873="Yes",H873="No"),I873&lt;&gt;"",OR(F873&lt;&gt;"Supported",E873&lt;&gt;""),OR(G873&lt;&gt;"Supported",AND(F873="Supported",D873&lt;&gt;"",E873&lt;&gt;""))),"Yes","No"))</f>
        <v/>
      </c>
    </row>
    <row r="874" spans="11:11">
      <c r="K874" s="11">
        <f>IF(OR(A874="",C874=""),"",IF(AND(COUNTIF(Responses!$A$6:$A$205,A874)=1,B874&lt;&gt;"",COUNTIFS($A$6:$A$2005,A874,$B$6:$B$2005,B874)=1,OR(F874="Supported",F874="Unsupported",F874="Contradicted"),OR(G874="Supported",G874="Wrong citation",G874="Missing citation"),OR(H874="Yes",H874="No"),I874&lt;&gt;"",OR(F874&lt;&gt;"Supported",E874&lt;&gt;""),OR(G874&lt;&gt;"Supported",AND(F874="Supported",D874&lt;&gt;"",E874&lt;&gt;""))),"Yes","No"))</f>
        <v/>
      </c>
    </row>
    <row r="875" spans="11:11">
      <c r="K875" s="11">
        <f>IF(OR(A875="",C875=""),"",IF(AND(COUNTIF(Responses!$A$6:$A$205,A875)=1,B875&lt;&gt;"",COUNTIFS($A$6:$A$2005,A875,$B$6:$B$2005,B875)=1,OR(F875="Supported",F875="Unsupported",F875="Contradicted"),OR(G875="Supported",G875="Wrong citation",G875="Missing citation"),OR(H875="Yes",H875="No"),I875&lt;&gt;"",OR(F875&lt;&gt;"Supported",E875&lt;&gt;""),OR(G875&lt;&gt;"Supported",AND(F875="Supported",D875&lt;&gt;"",E875&lt;&gt;""))),"Yes","No"))</f>
        <v/>
      </c>
    </row>
    <row r="876" spans="11:11">
      <c r="K876" s="11">
        <f>IF(OR(A876="",C876=""),"",IF(AND(COUNTIF(Responses!$A$6:$A$205,A876)=1,B876&lt;&gt;"",COUNTIFS($A$6:$A$2005,A876,$B$6:$B$2005,B876)=1,OR(F876="Supported",F876="Unsupported",F876="Contradicted"),OR(G876="Supported",G876="Wrong citation",G876="Missing citation"),OR(H876="Yes",H876="No"),I876&lt;&gt;"",OR(F876&lt;&gt;"Supported",E876&lt;&gt;""),OR(G876&lt;&gt;"Supported",AND(F876="Supported",D876&lt;&gt;"",E876&lt;&gt;""))),"Yes","No"))</f>
        <v/>
      </c>
    </row>
    <row r="877" spans="11:11">
      <c r="K877" s="11">
        <f>IF(OR(A877="",C877=""),"",IF(AND(COUNTIF(Responses!$A$6:$A$205,A877)=1,B877&lt;&gt;"",COUNTIFS($A$6:$A$2005,A877,$B$6:$B$2005,B877)=1,OR(F877="Supported",F877="Unsupported",F877="Contradicted"),OR(G877="Supported",G877="Wrong citation",G877="Missing citation"),OR(H877="Yes",H877="No"),I877&lt;&gt;"",OR(F877&lt;&gt;"Supported",E877&lt;&gt;""),OR(G877&lt;&gt;"Supported",AND(F877="Supported",D877&lt;&gt;"",E877&lt;&gt;""))),"Yes","No"))</f>
        <v/>
      </c>
    </row>
    <row r="878" spans="11:11">
      <c r="K878" s="11">
        <f>IF(OR(A878="",C878=""),"",IF(AND(COUNTIF(Responses!$A$6:$A$205,A878)=1,B878&lt;&gt;"",COUNTIFS($A$6:$A$2005,A878,$B$6:$B$2005,B878)=1,OR(F878="Supported",F878="Unsupported",F878="Contradicted"),OR(G878="Supported",G878="Wrong citation",G878="Missing citation"),OR(H878="Yes",H878="No"),I878&lt;&gt;"",OR(F878&lt;&gt;"Supported",E878&lt;&gt;""),OR(G878&lt;&gt;"Supported",AND(F878="Supported",D878&lt;&gt;"",E878&lt;&gt;""))),"Yes","No"))</f>
        <v/>
      </c>
    </row>
    <row r="879" spans="11:11">
      <c r="K879" s="11">
        <f>IF(OR(A879="",C879=""),"",IF(AND(COUNTIF(Responses!$A$6:$A$205,A879)=1,B879&lt;&gt;"",COUNTIFS($A$6:$A$2005,A879,$B$6:$B$2005,B879)=1,OR(F879="Supported",F879="Unsupported",F879="Contradicted"),OR(G879="Supported",G879="Wrong citation",G879="Missing citation"),OR(H879="Yes",H879="No"),I879&lt;&gt;"",OR(F879&lt;&gt;"Supported",E879&lt;&gt;""),OR(G879&lt;&gt;"Supported",AND(F879="Supported",D879&lt;&gt;"",E879&lt;&gt;""))),"Yes","No"))</f>
        <v/>
      </c>
    </row>
    <row r="880" spans="11:11">
      <c r="K880" s="11">
        <f>IF(OR(A880="",C880=""),"",IF(AND(COUNTIF(Responses!$A$6:$A$205,A880)=1,B880&lt;&gt;"",COUNTIFS($A$6:$A$2005,A880,$B$6:$B$2005,B880)=1,OR(F880="Supported",F880="Unsupported",F880="Contradicted"),OR(G880="Supported",G880="Wrong citation",G880="Missing citation"),OR(H880="Yes",H880="No"),I880&lt;&gt;"",OR(F880&lt;&gt;"Supported",E880&lt;&gt;""),OR(G880&lt;&gt;"Supported",AND(F880="Supported",D880&lt;&gt;"",E880&lt;&gt;""))),"Yes","No"))</f>
        <v/>
      </c>
    </row>
    <row r="881" spans="11:11">
      <c r="K881" s="11">
        <f>IF(OR(A881="",C881=""),"",IF(AND(COUNTIF(Responses!$A$6:$A$205,A881)=1,B881&lt;&gt;"",COUNTIFS($A$6:$A$2005,A881,$B$6:$B$2005,B881)=1,OR(F881="Supported",F881="Unsupported",F881="Contradicted"),OR(G881="Supported",G881="Wrong citation",G881="Missing citation"),OR(H881="Yes",H881="No"),I881&lt;&gt;"",OR(F881&lt;&gt;"Supported",E881&lt;&gt;""),OR(G881&lt;&gt;"Supported",AND(F881="Supported",D881&lt;&gt;"",E881&lt;&gt;""))),"Yes","No"))</f>
        <v/>
      </c>
    </row>
    <row r="882" spans="11:11">
      <c r="K882" s="11">
        <f>IF(OR(A882="",C882=""),"",IF(AND(COUNTIF(Responses!$A$6:$A$205,A882)=1,B882&lt;&gt;"",COUNTIFS($A$6:$A$2005,A882,$B$6:$B$2005,B882)=1,OR(F882="Supported",F882="Unsupported",F882="Contradicted"),OR(G882="Supported",G882="Wrong citation",G882="Missing citation"),OR(H882="Yes",H882="No"),I882&lt;&gt;"",OR(F882&lt;&gt;"Supported",E882&lt;&gt;""),OR(G882&lt;&gt;"Supported",AND(F882="Supported",D882&lt;&gt;"",E882&lt;&gt;""))),"Yes","No"))</f>
        <v/>
      </c>
    </row>
    <row r="883" spans="11:11">
      <c r="K883" s="11">
        <f>IF(OR(A883="",C883=""),"",IF(AND(COUNTIF(Responses!$A$6:$A$205,A883)=1,B883&lt;&gt;"",COUNTIFS($A$6:$A$2005,A883,$B$6:$B$2005,B883)=1,OR(F883="Supported",F883="Unsupported",F883="Contradicted"),OR(G883="Supported",G883="Wrong citation",G883="Missing citation"),OR(H883="Yes",H883="No"),I883&lt;&gt;"",OR(F883&lt;&gt;"Supported",E883&lt;&gt;""),OR(G883&lt;&gt;"Supported",AND(F883="Supported",D883&lt;&gt;"",E883&lt;&gt;""))),"Yes","No"))</f>
        <v/>
      </c>
    </row>
    <row r="884" spans="11:11">
      <c r="K884" s="11">
        <f>IF(OR(A884="",C884=""),"",IF(AND(COUNTIF(Responses!$A$6:$A$205,A884)=1,B884&lt;&gt;"",COUNTIFS($A$6:$A$2005,A884,$B$6:$B$2005,B884)=1,OR(F884="Supported",F884="Unsupported",F884="Contradicted"),OR(G884="Supported",G884="Wrong citation",G884="Missing citation"),OR(H884="Yes",H884="No"),I884&lt;&gt;"",OR(F884&lt;&gt;"Supported",E884&lt;&gt;""),OR(G884&lt;&gt;"Supported",AND(F884="Supported",D884&lt;&gt;"",E884&lt;&gt;""))),"Yes","No"))</f>
        <v/>
      </c>
    </row>
    <row r="885" spans="11:11">
      <c r="K885" s="11">
        <f>IF(OR(A885="",C885=""),"",IF(AND(COUNTIF(Responses!$A$6:$A$205,A885)=1,B885&lt;&gt;"",COUNTIFS($A$6:$A$2005,A885,$B$6:$B$2005,B885)=1,OR(F885="Supported",F885="Unsupported",F885="Contradicted"),OR(G885="Supported",G885="Wrong citation",G885="Missing citation"),OR(H885="Yes",H885="No"),I885&lt;&gt;"",OR(F885&lt;&gt;"Supported",E885&lt;&gt;""),OR(G885&lt;&gt;"Supported",AND(F885="Supported",D885&lt;&gt;"",E885&lt;&gt;""))),"Yes","No"))</f>
        <v/>
      </c>
    </row>
    <row r="886" spans="11:11">
      <c r="K886" s="11">
        <f>IF(OR(A886="",C886=""),"",IF(AND(COUNTIF(Responses!$A$6:$A$205,A886)=1,B886&lt;&gt;"",COUNTIFS($A$6:$A$2005,A886,$B$6:$B$2005,B886)=1,OR(F886="Supported",F886="Unsupported",F886="Contradicted"),OR(G886="Supported",G886="Wrong citation",G886="Missing citation"),OR(H886="Yes",H886="No"),I886&lt;&gt;"",OR(F886&lt;&gt;"Supported",E886&lt;&gt;""),OR(G886&lt;&gt;"Supported",AND(F886="Supported",D886&lt;&gt;"",E886&lt;&gt;""))),"Yes","No"))</f>
        <v/>
      </c>
    </row>
    <row r="887" spans="11:11">
      <c r="K887" s="11">
        <f>IF(OR(A887="",C887=""),"",IF(AND(COUNTIF(Responses!$A$6:$A$205,A887)=1,B887&lt;&gt;"",COUNTIFS($A$6:$A$2005,A887,$B$6:$B$2005,B887)=1,OR(F887="Supported",F887="Unsupported",F887="Contradicted"),OR(G887="Supported",G887="Wrong citation",G887="Missing citation"),OR(H887="Yes",H887="No"),I887&lt;&gt;"",OR(F887&lt;&gt;"Supported",E887&lt;&gt;""),OR(G887&lt;&gt;"Supported",AND(F887="Supported",D887&lt;&gt;"",E887&lt;&gt;""))),"Yes","No"))</f>
        <v/>
      </c>
    </row>
    <row r="888" spans="11:11">
      <c r="K888" s="11">
        <f>IF(OR(A888="",C888=""),"",IF(AND(COUNTIF(Responses!$A$6:$A$205,A888)=1,B888&lt;&gt;"",COUNTIFS($A$6:$A$2005,A888,$B$6:$B$2005,B888)=1,OR(F888="Supported",F888="Unsupported",F888="Contradicted"),OR(G888="Supported",G888="Wrong citation",G888="Missing citation"),OR(H888="Yes",H888="No"),I888&lt;&gt;"",OR(F888&lt;&gt;"Supported",E888&lt;&gt;""),OR(G888&lt;&gt;"Supported",AND(F888="Supported",D888&lt;&gt;"",E888&lt;&gt;""))),"Yes","No"))</f>
        <v/>
      </c>
    </row>
    <row r="889" spans="11:11">
      <c r="K889" s="11">
        <f>IF(OR(A889="",C889=""),"",IF(AND(COUNTIF(Responses!$A$6:$A$205,A889)=1,B889&lt;&gt;"",COUNTIFS($A$6:$A$2005,A889,$B$6:$B$2005,B889)=1,OR(F889="Supported",F889="Unsupported",F889="Contradicted"),OR(G889="Supported",G889="Wrong citation",G889="Missing citation"),OR(H889="Yes",H889="No"),I889&lt;&gt;"",OR(F889&lt;&gt;"Supported",E889&lt;&gt;""),OR(G889&lt;&gt;"Supported",AND(F889="Supported",D889&lt;&gt;"",E889&lt;&gt;""))),"Yes","No"))</f>
        <v/>
      </c>
    </row>
    <row r="890" spans="11:11">
      <c r="K890" s="11">
        <f>IF(OR(A890="",C890=""),"",IF(AND(COUNTIF(Responses!$A$6:$A$205,A890)=1,B890&lt;&gt;"",COUNTIFS($A$6:$A$2005,A890,$B$6:$B$2005,B890)=1,OR(F890="Supported",F890="Unsupported",F890="Contradicted"),OR(G890="Supported",G890="Wrong citation",G890="Missing citation"),OR(H890="Yes",H890="No"),I890&lt;&gt;"",OR(F890&lt;&gt;"Supported",E890&lt;&gt;""),OR(G890&lt;&gt;"Supported",AND(F890="Supported",D890&lt;&gt;"",E890&lt;&gt;""))),"Yes","No"))</f>
        <v/>
      </c>
    </row>
    <row r="891" spans="11:11">
      <c r="K891" s="11">
        <f>IF(OR(A891="",C891=""),"",IF(AND(COUNTIF(Responses!$A$6:$A$205,A891)=1,B891&lt;&gt;"",COUNTIFS($A$6:$A$2005,A891,$B$6:$B$2005,B891)=1,OR(F891="Supported",F891="Unsupported",F891="Contradicted"),OR(G891="Supported",G891="Wrong citation",G891="Missing citation"),OR(H891="Yes",H891="No"),I891&lt;&gt;"",OR(F891&lt;&gt;"Supported",E891&lt;&gt;""),OR(G891&lt;&gt;"Supported",AND(F891="Supported",D891&lt;&gt;"",E891&lt;&gt;""))),"Yes","No"))</f>
        <v/>
      </c>
    </row>
    <row r="892" spans="11:11">
      <c r="K892" s="11">
        <f>IF(OR(A892="",C892=""),"",IF(AND(COUNTIF(Responses!$A$6:$A$205,A892)=1,B892&lt;&gt;"",COUNTIFS($A$6:$A$2005,A892,$B$6:$B$2005,B892)=1,OR(F892="Supported",F892="Unsupported",F892="Contradicted"),OR(G892="Supported",G892="Wrong citation",G892="Missing citation"),OR(H892="Yes",H892="No"),I892&lt;&gt;"",OR(F892&lt;&gt;"Supported",E892&lt;&gt;""),OR(G892&lt;&gt;"Supported",AND(F892="Supported",D892&lt;&gt;"",E892&lt;&gt;""))),"Yes","No"))</f>
        <v/>
      </c>
    </row>
    <row r="893" spans="11:11">
      <c r="K893" s="11">
        <f>IF(OR(A893="",C893=""),"",IF(AND(COUNTIF(Responses!$A$6:$A$205,A893)=1,B893&lt;&gt;"",COUNTIFS($A$6:$A$2005,A893,$B$6:$B$2005,B893)=1,OR(F893="Supported",F893="Unsupported",F893="Contradicted"),OR(G893="Supported",G893="Wrong citation",G893="Missing citation"),OR(H893="Yes",H893="No"),I893&lt;&gt;"",OR(F893&lt;&gt;"Supported",E893&lt;&gt;""),OR(G893&lt;&gt;"Supported",AND(F893="Supported",D893&lt;&gt;"",E893&lt;&gt;""))),"Yes","No"))</f>
        <v/>
      </c>
    </row>
    <row r="894" spans="11:11">
      <c r="K894" s="11">
        <f>IF(OR(A894="",C894=""),"",IF(AND(COUNTIF(Responses!$A$6:$A$205,A894)=1,B894&lt;&gt;"",COUNTIFS($A$6:$A$2005,A894,$B$6:$B$2005,B894)=1,OR(F894="Supported",F894="Unsupported",F894="Contradicted"),OR(G894="Supported",G894="Wrong citation",G894="Missing citation"),OR(H894="Yes",H894="No"),I894&lt;&gt;"",OR(F894&lt;&gt;"Supported",E894&lt;&gt;""),OR(G894&lt;&gt;"Supported",AND(F894="Supported",D894&lt;&gt;"",E894&lt;&gt;""))),"Yes","No"))</f>
        <v/>
      </c>
    </row>
    <row r="895" spans="11:11">
      <c r="K895" s="11">
        <f>IF(OR(A895="",C895=""),"",IF(AND(COUNTIF(Responses!$A$6:$A$205,A895)=1,B895&lt;&gt;"",COUNTIFS($A$6:$A$2005,A895,$B$6:$B$2005,B895)=1,OR(F895="Supported",F895="Unsupported",F895="Contradicted"),OR(G895="Supported",G895="Wrong citation",G895="Missing citation"),OR(H895="Yes",H895="No"),I895&lt;&gt;"",OR(F895&lt;&gt;"Supported",E895&lt;&gt;""),OR(G895&lt;&gt;"Supported",AND(F895="Supported",D895&lt;&gt;"",E895&lt;&gt;""))),"Yes","No"))</f>
        <v/>
      </c>
    </row>
    <row r="896" spans="11:11">
      <c r="K896" s="11">
        <f>IF(OR(A896="",C896=""),"",IF(AND(COUNTIF(Responses!$A$6:$A$205,A896)=1,B896&lt;&gt;"",COUNTIFS($A$6:$A$2005,A896,$B$6:$B$2005,B896)=1,OR(F896="Supported",F896="Unsupported",F896="Contradicted"),OR(G896="Supported",G896="Wrong citation",G896="Missing citation"),OR(H896="Yes",H896="No"),I896&lt;&gt;"",OR(F896&lt;&gt;"Supported",E896&lt;&gt;""),OR(G896&lt;&gt;"Supported",AND(F896="Supported",D896&lt;&gt;"",E896&lt;&gt;""))),"Yes","No"))</f>
        <v/>
      </c>
    </row>
    <row r="897" spans="11:11">
      <c r="K897" s="11">
        <f>IF(OR(A897="",C897=""),"",IF(AND(COUNTIF(Responses!$A$6:$A$205,A897)=1,B897&lt;&gt;"",COUNTIFS($A$6:$A$2005,A897,$B$6:$B$2005,B897)=1,OR(F897="Supported",F897="Unsupported",F897="Contradicted"),OR(G897="Supported",G897="Wrong citation",G897="Missing citation"),OR(H897="Yes",H897="No"),I897&lt;&gt;"",OR(F897&lt;&gt;"Supported",E897&lt;&gt;""),OR(G897&lt;&gt;"Supported",AND(F897="Supported",D897&lt;&gt;"",E897&lt;&gt;""))),"Yes","No"))</f>
        <v/>
      </c>
    </row>
    <row r="898" spans="11:11">
      <c r="K898" s="11">
        <f>IF(OR(A898="",C898=""),"",IF(AND(COUNTIF(Responses!$A$6:$A$205,A898)=1,B898&lt;&gt;"",COUNTIFS($A$6:$A$2005,A898,$B$6:$B$2005,B898)=1,OR(F898="Supported",F898="Unsupported",F898="Contradicted"),OR(G898="Supported",G898="Wrong citation",G898="Missing citation"),OR(H898="Yes",H898="No"),I898&lt;&gt;"",OR(F898&lt;&gt;"Supported",E898&lt;&gt;""),OR(G898&lt;&gt;"Supported",AND(F898="Supported",D898&lt;&gt;"",E898&lt;&gt;""))),"Yes","No"))</f>
        <v/>
      </c>
    </row>
    <row r="899" spans="11:11">
      <c r="K899" s="11">
        <f>IF(OR(A899="",C899=""),"",IF(AND(COUNTIF(Responses!$A$6:$A$205,A899)=1,B899&lt;&gt;"",COUNTIFS($A$6:$A$2005,A899,$B$6:$B$2005,B899)=1,OR(F899="Supported",F899="Unsupported",F899="Contradicted"),OR(G899="Supported",G899="Wrong citation",G899="Missing citation"),OR(H899="Yes",H899="No"),I899&lt;&gt;"",OR(F899&lt;&gt;"Supported",E899&lt;&gt;""),OR(G899&lt;&gt;"Supported",AND(F899="Supported",D899&lt;&gt;"",E899&lt;&gt;""))),"Yes","No"))</f>
        <v/>
      </c>
    </row>
    <row r="900" spans="11:11">
      <c r="K900" s="11">
        <f>IF(OR(A900="",C900=""),"",IF(AND(COUNTIF(Responses!$A$6:$A$205,A900)=1,B900&lt;&gt;"",COUNTIFS($A$6:$A$2005,A900,$B$6:$B$2005,B900)=1,OR(F900="Supported",F900="Unsupported",F900="Contradicted"),OR(G900="Supported",G900="Wrong citation",G900="Missing citation"),OR(H900="Yes",H900="No"),I900&lt;&gt;"",OR(F900&lt;&gt;"Supported",E900&lt;&gt;""),OR(G900&lt;&gt;"Supported",AND(F900="Supported",D900&lt;&gt;"",E900&lt;&gt;""))),"Yes","No"))</f>
        <v/>
      </c>
    </row>
    <row r="901" spans="11:11">
      <c r="K901" s="11">
        <f>IF(OR(A901="",C901=""),"",IF(AND(COUNTIF(Responses!$A$6:$A$205,A901)=1,B901&lt;&gt;"",COUNTIFS($A$6:$A$2005,A901,$B$6:$B$2005,B901)=1,OR(F901="Supported",F901="Unsupported",F901="Contradicted"),OR(G901="Supported",G901="Wrong citation",G901="Missing citation"),OR(H901="Yes",H901="No"),I901&lt;&gt;"",OR(F901&lt;&gt;"Supported",E901&lt;&gt;""),OR(G901&lt;&gt;"Supported",AND(F901="Supported",D901&lt;&gt;"",E901&lt;&gt;""))),"Yes","No"))</f>
        <v/>
      </c>
    </row>
    <row r="902" spans="11:11">
      <c r="K902" s="11">
        <f>IF(OR(A902="",C902=""),"",IF(AND(COUNTIF(Responses!$A$6:$A$205,A902)=1,B902&lt;&gt;"",COUNTIFS($A$6:$A$2005,A902,$B$6:$B$2005,B902)=1,OR(F902="Supported",F902="Unsupported",F902="Contradicted"),OR(G902="Supported",G902="Wrong citation",G902="Missing citation"),OR(H902="Yes",H902="No"),I902&lt;&gt;"",OR(F902&lt;&gt;"Supported",E902&lt;&gt;""),OR(G902&lt;&gt;"Supported",AND(F902="Supported",D902&lt;&gt;"",E902&lt;&gt;""))),"Yes","No"))</f>
        <v/>
      </c>
    </row>
    <row r="903" spans="11:11">
      <c r="K903" s="11">
        <f>IF(OR(A903="",C903=""),"",IF(AND(COUNTIF(Responses!$A$6:$A$205,A903)=1,B903&lt;&gt;"",COUNTIFS($A$6:$A$2005,A903,$B$6:$B$2005,B903)=1,OR(F903="Supported",F903="Unsupported",F903="Contradicted"),OR(G903="Supported",G903="Wrong citation",G903="Missing citation"),OR(H903="Yes",H903="No"),I903&lt;&gt;"",OR(F903&lt;&gt;"Supported",E903&lt;&gt;""),OR(G903&lt;&gt;"Supported",AND(F903="Supported",D903&lt;&gt;"",E903&lt;&gt;""))),"Yes","No"))</f>
        <v/>
      </c>
    </row>
    <row r="904" spans="11:11">
      <c r="K904" s="11">
        <f>IF(OR(A904="",C904=""),"",IF(AND(COUNTIF(Responses!$A$6:$A$205,A904)=1,B904&lt;&gt;"",COUNTIFS($A$6:$A$2005,A904,$B$6:$B$2005,B904)=1,OR(F904="Supported",F904="Unsupported",F904="Contradicted"),OR(G904="Supported",G904="Wrong citation",G904="Missing citation"),OR(H904="Yes",H904="No"),I904&lt;&gt;"",OR(F904&lt;&gt;"Supported",E904&lt;&gt;""),OR(G904&lt;&gt;"Supported",AND(F904="Supported",D904&lt;&gt;"",E904&lt;&gt;""))),"Yes","No"))</f>
        <v/>
      </c>
    </row>
    <row r="905" spans="11:11">
      <c r="K905" s="11">
        <f>IF(OR(A905="",C905=""),"",IF(AND(COUNTIF(Responses!$A$6:$A$205,A905)=1,B905&lt;&gt;"",COUNTIFS($A$6:$A$2005,A905,$B$6:$B$2005,B905)=1,OR(F905="Supported",F905="Unsupported",F905="Contradicted"),OR(G905="Supported",G905="Wrong citation",G905="Missing citation"),OR(H905="Yes",H905="No"),I905&lt;&gt;"",OR(F905&lt;&gt;"Supported",E905&lt;&gt;""),OR(G905&lt;&gt;"Supported",AND(F905="Supported",D905&lt;&gt;"",E905&lt;&gt;""))),"Yes","No"))</f>
        <v/>
      </c>
    </row>
    <row r="906" spans="11:11">
      <c r="K906" s="11">
        <f>IF(OR(A906="",C906=""),"",IF(AND(COUNTIF(Responses!$A$6:$A$205,A906)=1,B906&lt;&gt;"",COUNTIFS($A$6:$A$2005,A906,$B$6:$B$2005,B906)=1,OR(F906="Supported",F906="Unsupported",F906="Contradicted"),OR(G906="Supported",G906="Wrong citation",G906="Missing citation"),OR(H906="Yes",H906="No"),I906&lt;&gt;"",OR(F906&lt;&gt;"Supported",E906&lt;&gt;""),OR(G906&lt;&gt;"Supported",AND(F906="Supported",D906&lt;&gt;"",E906&lt;&gt;""))),"Yes","No"))</f>
        <v/>
      </c>
    </row>
    <row r="907" spans="11:11">
      <c r="K907" s="11">
        <f>IF(OR(A907="",C907=""),"",IF(AND(COUNTIF(Responses!$A$6:$A$205,A907)=1,B907&lt;&gt;"",COUNTIFS($A$6:$A$2005,A907,$B$6:$B$2005,B907)=1,OR(F907="Supported",F907="Unsupported",F907="Contradicted"),OR(G907="Supported",G907="Wrong citation",G907="Missing citation"),OR(H907="Yes",H907="No"),I907&lt;&gt;"",OR(F907&lt;&gt;"Supported",E907&lt;&gt;""),OR(G907&lt;&gt;"Supported",AND(F907="Supported",D907&lt;&gt;"",E907&lt;&gt;""))),"Yes","No"))</f>
        <v/>
      </c>
    </row>
    <row r="908" spans="11:11">
      <c r="K908" s="11">
        <f>IF(OR(A908="",C908=""),"",IF(AND(COUNTIF(Responses!$A$6:$A$205,A908)=1,B908&lt;&gt;"",COUNTIFS($A$6:$A$2005,A908,$B$6:$B$2005,B908)=1,OR(F908="Supported",F908="Unsupported",F908="Contradicted"),OR(G908="Supported",G908="Wrong citation",G908="Missing citation"),OR(H908="Yes",H908="No"),I908&lt;&gt;"",OR(F908&lt;&gt;"Supported",E908&lt;&gt;""),OR(G908&lt;&gt;"Supported",AND(F908="Supported",D908&lt;&gt;"",E908&lt;&gt;""))),"Yes","No"))</f>
        <v/>
      </c>
    </row>
    <row r="909" spans="11:11">
      <c r="K909" s="11">
        <f>IF(OR(A909="",C909=""),"",IF(AND(COUNTIF(Responses!$A$6:$A$205,A909)=1,B909&lt;&gt;"",COUNTIFS($A$6:$A$2005,A909,$B$6:$B$2005,B909)=1,OR(F909="Supported",F909="Unsupported",F909="Contradicted"),OR(G909="Supported",G909="Wrong citation",G909="Missing citation"),OR(H909="Yes",H909="No"),I909&lt;&gt;"",OR(F909&lt;&gt;"Supported",E909&lt;&gt;""),OR(G909&lt;&gt;"Supported",AND(F909="Supported",D909&lt;&gt;"",E909&lt;&gt;""))),"Yes","No"))</f>
        <v/>
      </c>
    </row>
    <row r="910" spans="11:11">
      <c r="K910" s="11">
        <f>IF(OR(A910="",C910=""),"",IF(AND(COUNTIF(Responses!$A$6:$A$205,A910)=1,B910&lt;&gt;"",COUNTIFS($A$6:$A$2005,A910,$B$6:$B$2005,B910)=1,OR(F910="Supported",F910="Unsupported",F910="Contradicted"),OR(G910="Supported",G910="Wrong citation",G910="Missing citation"),OR(H910="Yes",H910="No"),I910&lt;&gt;"",OR(F910&lt;&gt;"Supported",E910&lt;&gt;""),OR(G910&lt;&gt;"Supported",AND(F910="Supported",D910&lt;&gt;"",E910&lt;&gt;""))),"Yes","No"))</f>
        <v/>
      </c>
    </row>
    <row r="911" spans="11:11">
      <c r="K911" s="11">
        <f>IF(OR(A911="",C911=""),"",IF(AND(COUNTIF(Responses!$A$6:$A$205,A911)=1,B911&lt;&gt;"",COUNTIFS($A$6:$A$2005,A911,$B$6:$B$2005,B911)=1,OR(F911="Supported",F911="Unsupported",F911="Contradicted"),OR(G911="Supported",G911="Wrong citation",G911="Missing citation"),OR(H911="Yes",H911="No"),I911&lt;&gt;"",OR(F911&lt;&gt;"Supported",E911&lt;&gt;""),OR(G911&lt;&gt;"Supported",AND(F911="Supported",D911&lt;&gt;"",E911&lt;&gt;""))),"Yes","No"))</f>
        <v/>
      </c>
    </row>
    <row r="912" spans="11:11">
      <c r="K912" s="11">
        <f>IF(OR(A912="",C912=""),"",IF(AND(COUNTIF(Responses!$A$6:$A$205,A912)=1,B912&lt;&gt;"",COUNTIFS($A$6:$A$2005,A912,$B$6:$B$2005,B912)=1,OR(F912="Supported",F912="Unsupported",F912="Contradicted"),OR(G912="Supported",G912="Wrong citation",G912="Missing citation"),OR(H912="Yes",H912="No"),I912&lt;&gt;"",OR(F912&lt;&gt;"Supported",E912&lt;&gt;""),OR(G912&lt;&gt;"Supported",AND(F912="Supported",D912&lt;&gt;"",E912&lt;&gt;""))),"Yes","No"))</f>
        <v/>
      </c>
    </row>
    <row r="913" spans="11:11">
      <c r="K913" s="11">
        <f>IF(OR(A913="",C913=""),"",IF(AND(COUNTIF(Responses!$A$6:$A$205,A913)=1,B913&lt;&gt;"",COUNTIFS($A$6:$A$2005,A913,$B$6:$B$2005,B913)=1,OR(F913="Supported",F913="Unsupported",F913="Contradicted"),OR(G913="Supported",G913="Wrong citation",G913="Missing citation"),OR(H913="Yes",H913="No"),I913&lt;&gt;"",OR(F913&lt;&gt;"Supported",E913&lt;&gt;""),OR(G913&lt;&gt;"Supported",AND(F913="Supported",D913&lt;&gt;"",E913&lt;&gt;""))),"Yes","No"))</f>
        <v/>
      </c>
    </row>
    <row r="914" spans="11:11">
      <c r="K914" s="11">
        <f>IF(OR(A914="",C914=""),"",IF(AND(COUNTIF(Responses!$A$6:$A$205,A914)=1,B914&lt;&gt;"",COUNTIFS($A$6:$A$2005,A914,$B$6:$B$2005,B914)=1,OR(F914="Supported",F914="Unsupported",F914="Contradicted"),OR(G914="Supported",G914="Wrong citation",G914="Missing citation"),OR(H914="Yes",H914="No"),I914&lt;&gt;"",OR(F914&lt;&gt;"Supported",E914&lt;&gt;""),OR(G914&lt;&gt;"Supported",AND(F914="Supported",D914&lt;&gt;"",E914&lt;&gt;""))),"Yes","No"))</f>
        <v/>
      </c>
    </row>
    <row r="915" spans="11:11">
      <c r="K915" s="11">
        <f>IF(OR(A915="",C915=""),"",IF(AND(COUNTIF(Responses!$A$6:$A$205,A915)=1,B915&lt;&gt;"",COUNTIFS($A$6:$A$2005,A915,$B$6:$B$2005,B915)=1,OR(F915="Supported",F915="Unsupported",F915="Contradicted"),OR(G915="Supported",G915="Wrong citation",G915="Missing citation"),OR(H915="Yes",H915="No"),I915&lt;&gt;"",OR(F915&lt;&gt;"Supported",E915&lt;&gt;""),OR(G915&lt;&gt;"Supported",AND(F915="Supported",D915&lt;&gt;"",E915&lt;&gt;""))),"Yes","No"))</f>
        <v/>
      </c>
    </row>
    <row r="916" spans="11:11">
      <c r="K916" s="11">
        <f>IF(OR(A916="",C916=""),"",IF(AND(COUNTIF(Responses!$A$6:$A$205,A916)=1,B916&lt;&gt;"",COUNTIFS($A$6:$A$2005,A916,$B$6:$B$2005,B916)=1,OR(F916="Supported",F916="Unsupported",F916="Contradicted"),OR(G916="Supported",G916="Wrong citation",G916="Missing citation"),OR(H916="Yes",H916="No"),I916&lt;&gt;"",OR(F916&lt;&gt;"Supported",E916&lt;&gt;""),OR(G916&lt;&gt;"Supported",AND(F916="Supported",D916&lt;&gt;"",E916&lt;&gt;""))),"Yes","No"))</f>
        <v/>
      </c>
    </row>
    <row r="917" spans="11:11">
      <c r="K917" s="11">
        <f>IF(OR(A917="",C917=""),"",IF(AND(COUNTIF(Responses!$A$6:$A$205,A917)=1,B917&lt;&gt;"",COUNTIFS($A$6:$A$2005,A917,$B$6:$B$2005,B917)=1,OR(F917="Supported",F917="Unsupported",F917="Contradicted"),OR(G917="Supported",G917="Wrong citation",G917="Missing citation"),OR(H917="Yes",H917="No"),I917&lt;&gt;"",OR(F917&lt;&gt;"Supported",E917&lt;&gt;""),OR(G917&lt;&gt;"Supported",AND(F917="Supported",D917&lt;&gt;"",E917&lt;&gt;""))),"Yes","No"))</f>
        <v/>
      </c>
    </row>
    <row r="918" spans="11:11">
      <c r="K918" s="11">
        <f>IF(OR(A918="",C918=""),"",IF(AND(COUNTIF(Responses!$A$6:$A$205,A918)=1,B918&lt;&gt;"",COUNTIFS($A$6:$A$2005,A918,$B$6:$B$2005,B918)=1,OR(F918="Supported",F918="Unsupported",F918="Contradicted"),OR(G918="Supported",G918="Wrong citation",G918="Missing citation"),OR(H918="Yes",H918="No"),I918&lt;&gt;"",OR(F918&lt;&gt;"Supported",E918&lt;&gt;""),OR(G918&lt;&gt;"Supported",AND(F918="Supported",D918&lt;&gt;"",E918&lt;&gt;""))),"Yes","No"))</f>
        <v/>
      </c>
    </row>
    <row r="919" spans="11:11">
      <c r="K919" s="11">
        <f>IF(OR(A919="",C919=""),"",IF(AND(COUNTIF(Responses!$A$6:$A$205,A919)=1,B919&lt;&gt;"",COUNTIFS($A$6:$A$2005,A919,$B$6:$B$2005,B919)=1,OR(F919="Supported",F919="Unsupported",F919="Contradicted"),OR(G919="Supported",G919="Wrong citation",G919="Missing citation"),OR(H919="Yes",H919="No"),I919&lt;&gt;"",OR(F919&lt;&gt;"Supported",E919&lt;&gt;""),OR(G919&lt;&gt;"Supported",AND(F919="Supported",D919&lt;&gt;"",E919&lt;&gt;""))),"Yes","No"))</f>
        <v/>
      </c>
    </row>
    <row r="920" spans="11:11">
      <c r="K920" s="11">
        <f>IF(OR(A920="",C920=""),"",IF(AND(COUNTIF(Responses!$A$6:$A$205,A920)=1,B920&lt;&gt;"",COUNTIFS($A$6:$A$2005,A920,$B$6:$B$2005,B920)=1,OR(F920="Supported",F920="Unsupported",F920="Contradicted"),OR(G920="Supported",G920="Wrong citation",G920="Missing citation"),OR(H920="Yes",H920="No"),I920&lt;&gt;"",OR(F920&lt;&gt;"Supported",E920&lt;&gt;""),OR(G920&lt;&gt;"Supported",AND(F920="Supported",D920&lt;&gt;"",E920&lt;&gt;""))),"Yes","No"))</f>
        <v/>
      </c>
    </row>
    <row r="921" spans="11:11">
      <c r="K921" s="11">
        <f>IF(OR(A921="",C921=""),"",IF(AND(COUNTIF(Responses!$A$6:$A$205,A921)=1,B921&lt;&gt;"",COUNTIFS($A$6:$A$2005,A921,$B$6:$B$2005,B921)=1,OR(F921="Supported",F921="Unsupported",F921="Contradicted"),OR(G921="Supported",G921="Wrong citation",G921="Missing citation"),OR(H921="Yes",H921="No"),I921&lt;&gt;"",OR(F921&lt;&gt;"Supported",E921&lt;&gt;""),OR(G921&lt;&gt;"Supported",AND(F921="Supported",D921&lt;&gt;"",E921&lt;&gt;""))),"Yes","No"))</f>
        <v/>
      </c>
    </row>
    <row r="922" spans="11:11">
      <c r="K922" s="11">
        <f>IF(OR(A922="",C922=""),"",IF(AND(COUNTIF(Responses!$A$6:$A$205,A922)=1,B922&lt;&gt;"",COUNTIFS($A$6:$A$2005,A922,$B$6:$B$2005,B922)=1,OR(F922="Supported",F922="Unsupported",F922="Contradicted"),OR(G922="Supported",G922="Wrong citation",G922="Missing citation"),OR(H922="Yes",H922="No"),I922&lt;&gt;"",OR(F922&lt;&gt;"Supported",E922&lt;&gt;""),OR(G922&lt;&gt;"Supported",AND(F922="Supported",D922&lt;&gt;"",E922&lt;&gt;""))),"Yes","No"))</f>
        <v/>
      </c>
    </row>
    <row r="923" spans="11:11">
      <c r="K923" s="11">
        <f>IF(OR(A923="",C923=""),"",IF(AND(COUNTIF(Responses!$A$6:$A$205,A923)=1,B923&lt;&gt;"",COUNTIFS($A$6:$A$2005,A923,$B$6:$B$2005,B923)=1,OR(F923="Supported",F923="Unsupported",F923="Contradicted"),OR(G923="Supported",G923="Wrong citation",G923="Missing citation"),OR(H923="Yes",H923="No"),I923&lt;&gt;"",OR(F923&lt;&gt;"Supported",E923&lt;&gt;""),OR(G923&lt;&gt;"Supported",AND(F923="Supported",D923&lt;&gt;"",E923&lt;&gt;""))),"Yes","No"))</f>
        <v/>
      </c>
    </row>
    <row r="924" spans="11:11">
      <c r="K924" s="11">
        <f>IF(OR(A924="",C924=""),"",IF(AND(COUNTIF(Responses!$A$6:$A$205,A924)=1,B924&lt;&gt;"",COUNTIFS($A$6:$A$2005,A924,$B$6:$B$2005,B924)=1,OR(F924="Supported",F924="Unsupported",F924="Contradicted"),OR(G924="Supported",G924="Wrong citation",G924="Missing citation"),OR(H924="Yes",H924="No"),I924&lt;&gt;"",OR(F924&lt;&gt;"Supported",E924&lt;&gt;""),OR(G924&lt;&gt;"Supported",AND(F924="Supported",D924&lt;&gt;"",E924&lt;&gt;""))),"Yes","No"))</f>
        <v/>
      </c>
    </row>
    <row r="925" spans="11:11">
      <c r="K925" s="11">
        <f>IF(OR(A925="",C925=""),"",IF(AND(COUNTIF(Responses!$A$6:$A$205,A925)=1,B925&lt;&gt;"",COUNTIFS($A$6:$A$2005,A925,$B$6:$B$2005,B925)=1,OR(F925="Supported",F925="Unsupported",F925="Contradicted"),OR(G925="Supported",G925="Wrong citation",G925="Missing citation"),OR(H925="Yes",H925="No"),I925&lt;&gt;"",OR(F925&lt;&gt;"Supported",E925&lt;&gt;""),OR(G925&lt;&gt;"Supported",AND(F925="Supported",D925&lt;&gt;"",E925&lt;&gt;""))),"Yes","No"))</f>
        <v/>
      </c>
    </row>
    <row r="926" spans="11:11">
      <c r="K926" s="11">
        <f>IF(OR(A926="",C926=""),"",IF(AND(COUNTIF(Responses!$A$6:$A$205,A926)=1,B926&lt;&gt;"",COUNTIFS($A$6:$A$2005,A926,$B$6:$B$2005,B926)=1,OR(F926="Supported",F926="Unsupported",F926="Contradicted"),OR(G926="Supported",G926="Wrong citation",G926="Missing citation"),OR(H926="Yes",H926="No"),I926&lt;&gt;"",OR(F926&lt;&gt;"Supported",E926&lt;&gt;""),OR(G926&lt;&gt;"Supported",AND(F926="Supported",D926&lt;&gt;"",E926&lt;&gt;""))),"Yes","No"))</f>
        <v/>
      </c>
    </row>
    <row r="927" spans="11:11">
      <c r="K927" s="11">
        <f>IF(OR(A927="",C927=""),"",IF(AND(COUNTIF(Responses!$A$6:$A$205,A927)=1,B927&lt;&gt;"",COUNTIFS($A$6:$A$2005,A927,$B$6:$B$2005,B927)=1,OR(F927="Supported",F927="Unsupported",F927="Contradicted"),OR(G927="Supported",G927="Wrong citation",G927="Missing citation"),OR(H927="Yes",H927="No"),I927&lt;&gt;"",OR(F927&lt;&gt;"Supported",E927&lt;&gt;""),OR(G927&lt;&gt;"Supported",AND(F927="Supported",D927&lt;&gt;"",E927&lt;&gt;""))),"Yes","No"))</f>
        <v/>
      </c>
    </row>
    <row r="928" spans="11:11">
      <c r="K928" s="11">
        <f>IF(OR(A928="",C928=""),"",IF(AND(COUNTIF(Responses!$A$6:$A$205,A928)=1,B928&lt;&gt;"",COUNTIFS($A$6:$A$2005,A928,$B$6:$B$2005,B928)=1,OR(F928="Supported",F928="Unsupported",F928="Contradicted"),OR(G928="Supported",G928="Wrong citation",G928="Missing citation"),OR(H928="Yes",H928="No"),I928&lt;&gt;"",OR(F928&lt;&gt;"Supported",E928&lt;&gt;""),OR(G928&lt;&gt;"Supported",AND(F928="Supported",D928&lt;&gt;"",E928&lt;&gt;""))),"Yes","No"))</f>
        <v/>
      </c>
    </row>
    <row r="929" spans="11:11">
      <c r="K929" s="11">
        <f>IF(OR(A929="",C929=""),"",IF(AND(COUNTIF(Responses!$A$6:$A$205,A929)=1,B929&lt;&gt;"",COUNTIFS($A$6:$A$2005,A929,$B$6:$B$2005,B929)=1,OR(F929="Supported",F929="Unsupported",F929="Contradicted"),OR(G929="Supported",G929="Wrong citation",G929="Missing citation"),OR(H929="Yes",H929="No"),I929&lt;&gt;"",OR(F929&lt;&gt;"Supported",E929&lt;&gt;""),OR(G929&lt;&gt;"Supported",AND(F929="Supported",D929&lt;&gt;"",E929&lt;&gt;""))),"Yes","No"))</f>
        <v/>
      </c>
    </row>
    <row r="930" spans="11:11">
      <c r="K930" s="11">
        <f>IF(OR(A930="",C930=""),"",IF(AND(COUNTIF(Responses!$A$6:$A$205,A930)=1,B930&lt;&gt;"",COUNTIFS($A$6:$A$2005,A930,$B$6:$B$2005,B930)=1,OR(F930="Supported",F930="Unsupported",F930="Contradicted"),OR(G930="Supported",G930="Wrong citation",G930="Missing citation"),OR(H930="Yes",H930="No"),I930&lt;&gt;"",OR(F930&lt;&gt;"Supported",E930&lt;&gt;""),OR(G930&lt;&gt;"Supported",AND(F930="Supported",D930&lt;&gt;"",E930&lt;&gt;""))),"Yes","No"))</f>
        <v/>
      </c>
    </row>
    <row r="931" spans="11:11">
      <c r="K931" s="11">
        <f>IF(OR(A931="",C931=""),"",IF(AND(COUNTIF(Responses!$A$6:$A$205,A931)=1,B931&lt;&gt;"",COUNTIFS($A$6:$A$2005,A931,$B$6:$B$2005,B931)=1,OR(F931="Supported",F931="Unsupported",F931="Contradicted"),OR(G931="Supported",G931="Wrong citation",G931="Missing citation"),OR(H931="Yes",H931="No"),I931&lt;&gt;"",OR(F931&lt;&gt;"Supported",E931&lt;&gt;""),OR(G931&lt;&gt;"Supported",AND(F931="Supported",D931&lt;&gt;"",E931&lt;&gt;""))),"Yes","No"))</f>
        <v/>
      </c>
    </row>
    <row r="932" spans="11:11">
      <c r="K932" s="11">
        <f>IF(OR(A932="",C932=""),"",IF(AND(COUNTIF(Responses!$A$6:$A$205,A932)=1,B932&lt;&gt;"",COUNTIFS($A$6:$A$2005,A932,$B$6:$B$2005,B932)=1,OR(F932="Supported",F932="Unsupported",F932="Contradicted"),OR(G932="Supported",G932="Wrong citation",G932="Missing citation"),OR(H932="Yes",H932="No"),I932&lt;&gt;"",OR(F932&lt;&gt;"Supported",E932&lt;&gt;""),OR(G932&lt;&gt;"Supported",AND(F932="Supported",D932&lt;&gt;"",E932&lt;&gt;""))),"Yes","No"))</f>
        <v/>
      </c>
    </row>
    <row r="933" spans="11:11">
      <c r="K933" s="11">
        <f>IF(OR(A933="",C933=""),"",IF(AND(COUNTIF(Responses!$A$6:$A$205,A933)=1,B933&lt;&gt;"",COUNTIFS($A$6:$A$2005,A933,$B$6:$B$2005,B933)=1,OR(F933="Supported",F933="Unsupported",F933="Contradicted"),OR(G933="Supported",G933="Wrong citation",G933="Missing citation"),OR(H933="Yes",H933="No"),I933&lt;&gt;"",OR(F933&lt;&gt;"Supported",E933&lt;&gt;""),OR(G933&lt;&gt;"Supported",AND(F933="Supported",D933&lt;&gt;"",E933&lt;&gt;""))),"Yes","No"))</f>
        <v/>
      </c>
    </row>
    <row r="934" spans="11:11">
      <c r="K934" s="11">
        <f>IF(OR(A934="",C934=""),"",IF(AND(COUNTIF(Responses!$A$6:$A$205,A934)=1,B934&lt;&gt;"",COUNTIFS($A$6:$A$2005,A934,$B$6:$B$2005,B934)=1,OR(F934="Supported",F934="Unsupported",F934="Contradicted"),OR(G934="Supported",G934="Wrong citation",G934="Missing citation"),OR(H934="Yes",H934="No"),I934&lt;&gt;"",OR(F934&lt;&gt;"Supported",E934&lt;&gt;""),OR(G934&lt;&gt;"Supported",AND(F934="Supported",D934&lt;&gt;"",E934&lt;&gt;""))),"Yes","No"))</f>
        <v/>
      </c>
    </row>
    <row r="935" spans="11:11">
      <c r="K935" s="11">
        <f>IF(OR(A935="",C935=""),"",IF(AND(COUNTIF(Responses!$A$6:$A$205,A935)=1,B935&lt;&gt;"",COUNTIFS($A$6:$A$2005,A935,$B$6:$B$2005,B935)=1,OR(F935="Supported",F935="Unsupported",F935="Contradicted"),OR(G935="Supported",G935="Wrong citation",G935="Missing citation"),OR(H935="Yes",H935="No"),I935&lt;&gt;"",OR(F935&lt;&gt;"Supported",E935&lt;&gt;""),OR(G935&lt;&gt;"Supported",AND(F935="Supported",D935&lt;&gt;"",E935&lt;&gt;""))),"Yes","No"))</f>
        <v/>
      </c>
    </row>
    <row r="936" spans="11:11">
      <c r="K936" s="11">
        <f>IF(OR(A936="",C936=""),"",IF(AND(COUNTIF(Responses!$A$6:$A$205,A936)=1,B936&lt;&gt;"",COUNTIFS($A$6:$A$2005,A936,$B$6:$B$2005,B936)=1,OR(F936="Supported",F936="Unsupported",F936="Contradicted"),OR(G936="Supported",G936="Wrong citation",G936="Missing citation"),OR(H936="Yes",H936="No"),I936&lt;&gt;"",OR(F936&lt;&gt;"Supported",E936&lt;&gt;""),OR(G936&lt;&gt;"Supported",AND(F936="Supported",D936&lt;&gt;"",E936&lt;&gt;""))),"Yes","No"))</f>
        <v/>
      </c>
    </row>
    <row r="937" spans="11:11">
      <c r="K937" s="11">
        <f>IF(OR(A937="",C937=""),"",IF(AND(COUNTIF(Responses!$A$6:$A$205,A937)=1,B937&lt;&gt;"",COUNTIFS($A$6:$A$2005,A937,$B$6:$B$2005,B937)=1,OR(F937="Supported",F937="Unsupported",F937="Contradicted"),OR(G937="Supported",G937="Wrong citation",G937="Missing citation"),OR(H937="Yes",H937="No"),I937&lt;&gt;"",OR(F937&lt;&gt;"Supported",E937&lt;&gt;""),OR(G937&lt;&gt;"Supported",AND(F937="Supported",D937&lt;&gt;"",E937&lt;&gt;""))),"Yes","No"))</f>
        <v/>
      </c>
    </row>
    <row r="938" spans="11:11">
      <c r="K938" s="11">
        <f>IF(OR(A938="",C938=""),"",IF(AND(COUNTIF(Responses!$A$6:$A$205,A938)=1,B938&lt;&gt;"",COUNTIFS($A$6:$A$2005,A938,$B$6:$B$2005,B938)=1,OR(F938="Supported",F938="Unsupported",F938="Contradicted"),OR(G938="Supported",G938="Wrong citation",G938="Missing citation"),OR(H938="Yes",H938="No"),I938&lt;&gt;"",OR(F938&lt;&gt;"Supported",E938&lt;&gt;""),OR(G938&lt;&gt;"Supported",AND(F938="Supported",D938&lt;&gt;"",E938&lt;&gt;""))),"Yes","No"))</f>
        <v/>
      </c>
    </row>
    <row r="939" spans="11:11">
      <c r="K939" s="11">
        <f>IF(OR(A939="",C939=""),"",IF(AND(COUNTIF(Responses!$A$6:$A$205,A939)=1,B939&lt;&gt;"",COUNTIFS($A$6:$A$2005,A939,$B$6:$B$2005,B939)=1,OR(F939="Supported",F939="Unsupported",F939="Contradicted"),OR(G939="Supported",G939="Wrong citation",G939="Missing citation"),OR(H939="Yes",H939="No"),I939&lt;&gt;"",OR(F939&lt;&gt;"Supported",E939&lt;&gt;""),OR(G939&lt;&gt;"Supported",AND(F939="Supported",D939&lt;&gt;"",E939&lt;&gt;""))),"Yes","No"))</f>
        <v/>
      </c>
    </row>
    <row r="940" spans="11:11">
      <c r="K940" s="11">
        <f>IF(OR(A940="",C940=""),"",IF(AND(COUNTIF(Responses!$A$6:$A$205,A940)=1,B940&lt;&gt;"",COUNTIFS($A$6:$A$2005,A940,$B$6:$B$2005,B940)=1,OR(F940="Supported",F940="Unsupported",F940="Contradicted"),OR(G940="Supported",G940="Wrong citation",G940="Missing citation"),OR(H940="Yes",H940="No"),I940&lt;&gt;"",OR(F940&lt;&gt;"Supported",E940&lt;&gt;""),OR(G940&lt;&gt;"Supported",AND(F940="Supported",D940&lt;&gt;"",E940&lt;&gt;""))),"Yes","No"))</f>
        <v/>
      </c>
    </row>
    <row r="941" spans="11:11">
      <c r="K941" s="11">
        <f>IF(OR(A941="",C941=""),"",IF(AND(COUNTIF(Responses!$A$6:$A$205,A941)=1,B941&lt;&gt;"",COUNTIFS($A$6:$A$2005,A941,$B$6:$B$2005,B941)=1,OR(F941="Supported",F941="Unsupported",F941="Contradicted"),OR(G941="Supported",G941="Wrong citation",G941="Missing citation"),OR(H941="Yes",H941="No"),I941&lt;&gt;"",OR(F941&lt;&gt;"Supported",E941&lt;&gt;""),OR(G941&lt;&gt;"Supported",AND(F941="Supported",D941&lt;&gt;"",E941&lt;&gt;""))),"Yes","No"))</f>
        <v/>
      </c>
    </row>
    <row r="942" spans="11:11">
      <c r="K942" s="11">
        <f>IF(OR(A942="",C942=""),"",IF(AND(COUNTIF(Responses!$A$6:$A$205,A942)=1,B942&lt;&gt;"",COUNTIFS($A$6:$A$2005,A942,$B$6:$B$2005,B942)=1,OR(F942="Supported",F942="Unsupported",F942="Contradicted"),OR(G942="Supported",G942="Wrong citation",G942="Missing citation"),OR(H942="Yes",H942="No"),I942&lt;&gt;"",OR(F942&lt;&gt;"Supported",E942&lt;&gt;""),OR(G942&lt;&gt;"Supported",AND(F942="Supported",D942&lt;&gt;"",E942&lt;&gt;""))),"Yes","No"))</f>
        <v/>
      </c>
    </row>
    <row r="943" spans="11:11">
      <c r="K943" s="11">
        <f>IF(OR(A943="",C943=""),"",IF(AND(COUNTIF(Responses!$A$6:$A$205,A943)=1,B943&lt;&gt;"",COUNTIFS($A$6:$A$2005,A943,$B$6:$B$2005,B943)=1,OR(F943="Supported",F943="Unsupported",F943="Contradicted"),OR(G943="Supported",G943="Wrong citation",G943="Missing citation"),OR(H943="Yes",H943="No"),I943&lt;&gt;"",OR(F943&lt;&gt;"Supported",E943&lt;&gt;""),OR(G943&lt;&gt;"Supported",AND(F943="Supported",D943&lt;&gt;"",E943&lt;&gt;""))),"Yes","No"))</f>
        <v/>
      </c>
    </row>
    <row r="944" spans="11:11">
      <c r="K944" s="11">
        <f>IF(OR(A944="",C944=""),"",IF(AND(COUNTIF(Responses!$A$6:$A$205,A944)=1,B944&lt;&gt;"",COUNTIFS($A$6:$A$2005,A944,$B$6:$B$2005,B944)=1,OR(F944="Supported",F944="Unsupported",F944="Contradicted"),OR(G944="Supported",G944="Wrong citation",G944="Missing citation"),OR(H944="Yes",H944="No"),I944&lt;&gt;"",OR(F944&lt;&gt;"Supported",E944&lt;&gt;""),OR(G944&lt;&gt;"Supported",AND(F944="Supported",D944&lt;&gt;"",E944&lt;&gt;""))),"Yes","No"))</f>
        <v/>
      </c>
    </row>
    <row r="945" spans="11:11">
      <c r="K945" s="11">
        <f>IF(OR(A945="",C945=""),"",IF(AND(COUNTIF(Responses!$A$6:$A$205,A945)=1,B945&lt;&gt;"",COUNTIFS($A$6:$A$2005,A945,$B$6:$B$2005,B945)=1,OR(F945="Supported",F945="Unsupported",F945="Contradicted"),OR(G945="Supported",G945="Wrong citation",G945="Missing citation"),OR(H945="Yes",H945="No"),I945&lt;&gt;"",OR(F945&lt;&gt;"Supported",E945&lt;&gt;""),OR(G945&lt;&gt;"Supported",AND(F945="Supported",D945&lt;&gt;"",E945&lt;&gt;""))),"Yes","No"))</f>
        <v/>
      </c>
    </row>
    <row r="946" spans="11:11">
      <c r="K946" s="11">
        <f>IF(OR(A946="",C946=""),"",IF(AND(COUNTIF(Responses!$A$6:$A$205,A946)=1,B946&lt;&gt;"",COUNTIFS($A$6:$A$2005,A946,$B$6:$B$2005,B946)=1,OR(F946="Supported",F946="Unsupported",F946="Contradicted"),OR(G946="Supported",G946="Wrong citation",G946="Missing citation"),OR(H946="Yes",H946="No"),I946&lt;&gt;"",OR(F946&lt;&gt;"Supported",E946&lt;&gt;""),OR(G946&lt;&gt;"Supported",AND(F946="Supported",D946&lt;&gt;"",E946&lt;&gt;""))),"Yes","No"))</f>
        <v/>
      </c>
    </row>
    <row r="947" spans="11:11">
      <c r="K947" s="11">
        <f>IF(OR(A947="",C947=""),"",IF(AND(COUNTIF(Responses!$A$6:$A$205,A947)=1,B947&lt;&gt;"",COUNTIFS($A$6:$A$2005,A947,$B$6:$B$2005,B947)=1,OR(F947="Supported",F947="Unsupported",F947="Contradicted"),OR(G947="Supported",G947="Wrong citation",G947="Missing citation"),OR(H947="Yes",H947="No"),I947&lt;&gt;"",OR(F947&lt;&gt;"Supported",E947&lt;&gt;""),OR(G947&lt;&gt;"Supported",AND(F947="Supported",D947&lt;&gt;"",E947&lt;&gt;""))),"Yes","No"))</f>
        <v/>
      </c>
    </row>
    <row r="948" spans="11:11">
      <c r="K948" s="11">
        <f>IF(OR(A948="",C948=""),"",IF(AND(COUNTIF(Responses!$A$6:$A$205,A948)=1,B948&lt;&gt;"",COUNTIFS($A$6:$A$2005,A948,$B$6:$B$2005,B948)=1,OR(F948="Supported",F948="Unsupported",F948="Contradicted"),OR(G948="Supported",G948="Wrong citation",G948="Missing citation"),OR(H948="Yes",H948="No"),I948&lt;&gt;"",OR(F948&lt;&gt;"Supported",E948&lt;&gt;""),OR(G948&lt;&gt;"Supported",AND(F948="Supported",D948&lt;&gt;"",E948&lt;&gt;""))),"Yes","No"))</f>
        <v/>
      </c>
    </row>
    <row r="949" spans="11:11">
      <c r="K949" s="11">
        <f>IF(OR(A949="",C949=""),"",IF(AND(COUNTIF(Responses!$A$6:$A$205,A949)=1,B949&lt;&gt;"",COUNTIFS($A$6:$A$2005,A949,$B$6:$B$2005,B949)=1,OR(F949="Supported",F949="Unsupported",F949="Contradicted"),OR(G949="Supported",G949="Wrong citation",G949="Missing citation"),OR(H949="Yes",H949="No"),I949&lt;&gt;"",OR(F949&lt;&gt;"Supported",E949&lt;&gt;""),OR(G949&lt;&gt;"Supported",AND(F949="Supported",D949&lt;&gt;"",E949&lt;&gt;""))),"Yes","No"))</f>
        <v/>
      </c>
    </row>
    <row r="950" spans="11:11">
      <c r="K950" s="11">
        <f>IF(OR(A950="",C950=""),"",IF(AND(COUNTIF(Responses!$A$6:$A$205,A950)=1,B950&lt;&gt;"",COUNTIFS($A$6:$A$2005,A950,$B$6:$B$2005,B950)=1,OR(F950="Supported",F950="Unsupported",F950="Contradicted"),OR(G950="Supported",G950="Wrong citation",G950="Missing citation"),OR(H950="Yes",H950="No"),I950&lt;&gt;"",OR(F950&lt;&gt;"Supported",E950&lt;&gt;""),OR(G950&lt;&gt;"Supported",AND(F950="Supported",D950&lt;&gt;"",E950&lt;&gt;""))),"Yes","No"))</f>
        <v/>
      </c>
    </row>
    <row r="951" spans="11:11">
      <c r="K951" s="11">
        <f>IF(OR(A951="",C951=""),"",IF(AND(COUNTIF(Responses!$A$6:$A$205,A951)=1,B951&lt;&gt;"",COUNTIFS($A$6:$A$2005,A951,$B$6:$B$2005,B951)=1,OR(F951="Supported",F951="Unsupported",F951="Contradicted"),OR(G951="Supported",G951="Wrong citation",G951="Missing citation"),OR(H951="Yes",H951="No"),I951&lt;&gt;"",OR(F951&lt;&gt;"Supported",E951&lt;&gt;""),OR(G951&lt;&gt;"Supported",AND(F951="Supported",D951&lt;&gt;"",E951&lt;&gt;""))),"Yes","No"))</f>
        <v/>
      </c>
    </row>
    <row r="952" spans="11:11">
      <c r="K952" s="11">
        <f>IF(OR(A952="",C952=""),"",IF(AND(COUNTIF(Responses!$A$6:$A$205,A952)=1,B952&lt;&gt;"",COUNTIFS($A$6:$A$2005,A952,$B$6:$B$2005,B952)=1,OR(F952="Supported",F952="Unsupported",F952="Contradicted"),OR(G952="Supported",G952="Wrong citation",G952="Missing citation"),OR(H952="Yes",H952="No"),I952&lt;&gt;"",OR(F952&lt;&gt;"Supported",E952&lt;&gt;""),OR(G952&lt;&gt;"Supported",AND(F952="Supported",D952&lt;&gt;"",E952&lt;&gt;""))),"Yes","No"))</f>
        <v/>
      </c>
    </row>
    <row r="953" spans="11:11">
      <c r="K953" s="11">
        <f>IF(OR(A953="",C953=""),"",IF(AND(COUNTIF(Responses!$A$6:$A$205,A953)=1,B953&lt;&gt;"",COUNTIFS($A$6:$A$2005,A953,$B$6:$B$2005,B953)=1,OR(F953="Supported",F953="Unsupported",F953="Contradicted"),OR(G953="Supported",G953="Wrong citation",G953="Missing citation"),OR(H953="Yes",H953="No"),I953&lt;&gt;"",OR(F953&lt;&gt;"Supported",E953&lt;&gt;""),OR(G953&lt;&gt;"Supported",AND(F953="Supported",D953&lt;&gt;"",E953&lt;&gt;""))),"Yes","No"))</f>
        <v/>
      </c>
    </row>
    <row r="954" spans="11:11">
      <c r="K954" s="11">
        <f>IF(OR(A954="",C954=""),"",IF(AND(COUNTIF(Responses!$A$6:$A$205,A954)=1,B954&lt;&gt;"",COUNTIFS($A$6:$A$2005,A954,$B$6:$B$2005,B954)=1,OR(F954="Supported",F954="Unsupported",F954="Contradicted"),OR(G954="Supported",G954="Wrong citation",G954="Missing citation"),OR(H954="Yes",H954="No"),I954&lt;&gt;"",OR(F954&lt;&gt;"Supported",E954&lt;&gt;""),OR(G954&lt;&gt;"Supported",AND(F954="Supported",D954&lt;&gt;"",E954&lt;&gt;""))),"Yes","No"))</f>
        <v/>
      </c>
    </row>
    <row r="955" spans="11:11">
      <c r="K955" s="11">
        <f>IF(OR(A955="",C955=""),"",IF(AND(COUNTIF(Responses!$A$6:$A$205,A955)=1,B955&lt;&gt;"",COUNTIFS($A$6:$A$2005,A955,$B$6:$B$2005,B955)=1,OR(F955="Supported",F955="Unsupported",F955="Contradicted"),OR(G955="Supported",G955="Wrong citation",G955="Missing citation"),OR(H955="Yes",H955="No"),I955&lt;&gt;"",OR(F955&lt;&gt;"Supported",E955&lt;&gt;""),OR(G955&lt;&gt;"Supported",AND(F955="Supported",D955&lt;&gt;"",E955&lt;&gt;""))),"Yes","No"))</f>
        <v/>
      </c>
    </row>
    <row r="956" spans="11:11">
      <c r="K956" s="11">
        <f>IF(OR(A956="",C956=""),"",IF(AND(COUNTIF(Responses!$A$6:$A$205,A956)=1,B956&lt;&gt;"",COUNTIFS($A$6:$A$2005,A956,$B$6:$B$2005,B956)=1,OR(F956="Supported",F956="Unsupported",F956="Contradicted"),OR(G956="Supported",G956="Wrong citation",G956="Missing citation"),OR(H956="Yes",H956="No"),I956&lt;&gt;"",OR(F956&lt;&gt;"Supported",E956&lt;&gt;""),OR(G956&lt;&gt;"Supported",AND(F956="Supported",D956&lt;&gt;"",E956&lt;&gt;""))),"Yes","No"))</f>
        <v/>
      </c>
    </row>
    <row r="957" spans="11:11">
      <c r="K957" s="11">
        <f>IF(OR(A957="",C957=""),"",IF(AND(COUNTIF(Responses!$A$6:$A$205,A957)=1,B957&lt;&gt;"",COUNTIFS($A$6:$A$2005,A957,$B$6:$B$2005,B957)=1,OR(F957="Supported",F957="Unsupported",F957="Contradicted"),OR(G957="Supported",G957="Wrong citation",G957="Missing citation"),OR(H957="Yes",H957="No"),I957&lt;&gt;"",OR(F957&lt;&gt;"Supported",E957&lt;&gt;""),OR(G957&lt;&gt;"Supported",AND(F957="Supported",D957&lt;&gt;"",E957&lt;&gt;""))),"Yes","No"))</f>
        <v/>
      </c>
    </row>
    <row r="958" spans="11:11">
      <c r="K958" s="11">
        <f>IF(OR(A958="",C958=""),"",IF(AND(COUNTIF(Responses!$A$6:$A$205,A958)=1,B958&lt;&gt;"",COUNTIFS($A$6:$A$2005,A958,$B$6:$B$2005,B958)=1,OR(F958="Supported",F958="Unsupported",F958="Contradicted"),OR(G958="Supported",G958="Wrong citation",G958="Missing citation"),OR(H958="Yes",H958="No"),I958&lt;&gt;"",OR(F958&lt;&gt;"Supported",E958&lt;&gt;""),OR(G958&lt;&gt;"Supported",AND(F958="Supported",D958&lt;&gt;"",E958&lt;&gt;""))),"Yes","No"))</f>
        <v/>
      </c>
    </row>
    <row r="959" spans="11:11">
      <c r="K959" s="11">
        <f>IF(OR(A959="",C959=""),"",IF(AND(COUNTIF(Responses!$A$6:$A$205,A959)=1,B959&lt;&gt;"",COUNTIFS($A$6:$A$2005,A959,$B$6:$B$2005,B959)=1,OR(F959="Supported",F959="Unsupported",F959="Contradicted"),OR(G959="Supported",G959="Wrong citation",G959="Missing citation"),OR(H959="Yes",H959="No"),I959&lt;&gt;"",OR(F959&lt;&gt;"Supported",E959&lt;&gt;""),OR(G959&lt;&gt;"Supported",AND(F959="Supported",D959&lt;&gt;"",E959&lt;&gt;""))),"Yes","No"))</f>
        <v/>
      </c>
    </row>
    <row r="960" spans="11:11">
      <c r="K960" s="11">
        <f>IF(OR(A960="",C960=""),"",IF(AND(COUNTIF(Responses!$A$6:$A$205,A960)=1,B960&lt;&gt;"",COUNTIFS($A$6:$A$2005,A960,$B$6:$B$2005,B960)=1,OR(F960="Supported",F960="Unsupported",F960="Contradicted"),OR(G960="Supported",G960="Wrong citation",G960="Missing citation"),OR(H960="Yes",H960="No"),I960&lt;&gt;"",OR(F960&lt;&gt;"Supported",E960&lt;&gt;""),OR(G960&lt;&gt;"Supported",AND(F960="Supported",D960&lt;&gt;"",E960&lt;&gt;""))),"Yes","No"))</f>
        <v/>
      </c>
    </row>
    <row r="961" spans="11:11">
      <c r="K961" s="11">
        <f>IF(OR(A961="",C961=""),"",IF(AND(COUNTIF(Responses!$A$6:$A$205,A961)=1,B961&lt;&gt;"",COUNTIFS($A$6:$A$2005,A961,$B$6:$B$2005,B961)=1,OR(F961="Supported",F961="Unsupported",F961="Contradicted"),OR(G961="Supported",G961="Wrong citation",G961="Missing citation"),OR(H961="Yes",H961="No"),I961&lt;&gt;"",OR(F961&lt;&gt;"Supported",E961&lt;&gt;""),OR(G961&lt;&gt;"Supported",AND(F961="Supported",D961&lt;&gt;"",E961&lt;&gt;""))),"Yes","No"))</f>
        <v/>
      </c>
    </row>
    <row r="962" spans="11:11">
      <c r="K962" s="11">
        <f>IF(OR(A962="",C962=""),"",IF(AND(COUNTIF(Responses!$A$6:$A$205,A962)=1,B962&lt;&gt;"",COUNTIFS($A$6:$A$2005,A962,$B$6:$B$2005,B962)=1,OR(F962="Supported",F962="Unsupported",F962="Contradicted"),OR(G962="Supported",G962="Wrong citation",G962="Missing citation"),OR(H962="Yes",H962="No"),I962&lt;&gt;"",OR(F962&lt;&gt;"Supported",E962&lt;&gt;""),OR(G962&lt;&gt;"Supported",AND(F962="Supported",D962&lt;&gt;"",E962&lt;&gt;""))),"Yes","No"))</f>
        <v/>
      </c>
    </row>
    <row r="963" spans="11:11">
      <c r="K963" s="11">
        <f>IF(OR(A963="",C963=""),"",IF(AND(COUNTIF(Responses!$A$6:$A$205,A963)=1,B963&lt;&gt;"",COUNTIFS($A$6:$A$2005,A963,$B$6:$B$2005,B963)=1,OR(F963="Supported",F963="Unsupported",F963="Contradicted"),OR(G963="Supported",G963="Wrong citation",G963="Missing citation"),OR(H963="Yes",H963="No"),I963&lt;&gt;"",OR(F963&lt;&gt;"Supported",E963&lt;&gt;""),OR(G963&lt;&gt;"Supported",AND(F963="Supported",D963&lt;&gt;"",E963&lt;&gt;""))),"Yes","No"))</f>
        <v/>
      </c>
    </row>
    <row r="964" spans="11:11">
      <c r="K964" s="11">
        <f>IF(OR(A964="",C964=""),"",IF(AND(COUNTIF(Responses!$A$6:$A$205,A964)=1,B964&lt;&gt;"",COUNTIFS($A$6:$A$2005,A964,$B$6:$B$2005,B964)=1,OR(F964="Supported",F964="Unsupported",F964="Contradicted"),OR(G964="Supported",G964="Wrong citation",G964="Missing citation"),OR(H964="Yes",H964="No"),I964&lt;&gt;"",OR(F964&lt;&gt;"Supported",E964&lt;&gt;""),OR(G964&lt;&gt;"Supported",AND(F964="Supported",D964&lt;&gt;"",E964&lt;&gt;""))),"Yes","No"))</f>
        <v/>
      </c>
    </row>
    <row r="965" spans="11:11">
      <c r="K965" s="11">
        <f>IF(OR(A965="",C965=""),"",IF(AND(COUNTIF(Responses!$A$6:$A$205,A965)=1,B965&lt;&gt;"",COUNTIFS($A$6:$A$2005,A965,$B$6:$B$2005,B965)=1,OR(F965="Supported",F965="Unsupported",F965="Contradicted"),OR(G965="Supported",G965="Wrong citation",G965="Missing citation"),OR(H965="Yes",H965="No"),I965&lt;&gt;"",OR(F965&lt;&gt;"Supported",E965&lt;&gt;""),OR(G965&lt;&gt;"Supported",AND(F965="Supported",D965&lt;&gt;"",E965&lt;&gt;""))),"Yes","No"))</f>
        <v/>
      </c>
    </row>
    <row r="966" spans="11:11">
      <c r="K966" s="11">
        <f>IF(OR(A966="",C966=""),"",IF(AND(COUNTIF(Responses!$A$6:$A$205,A966)=1,B966&lt;&gt;"",COUNTIFS($A$6:$A$2005,A966,$B$6:$B$2005,B966)=1,OR(F966="Supported",F966="Unsupported",F966="Contradicted"),OR(G966="Supported",G966="Wrong citation",G966="Missing citation"),OR(H966="Yes",H966="No"),I966&lt;&gt;"",OR(F966&lt;&gt;"Supported",E966&lt;&gt;""),OR(G966&lt;&gt;"Supported",AND(F966="Supported",D966&lt;&gt;"",E966&lt;&gt;""))),"Yes","No"))</f>
        <v/>
      </c>
    </row>
    <row r="967" spans="11:11">
      <c r="K967" s="11">
        <f>IF(OR(A967="",C967=""),"",IF(AND(COUNTIF(Responses!$A$6:$A$205,A967)=1,B967&lt;&gt;"",COUNTIFS($A$6:$A$2005,A967,$B$6:$B$2005,B967)=1,OR(F967="Supported",F967="Unsupported",F967="Contradicted"),OR(G967="Supported",G967="Wrong citation",G967="Missing citation"),OR(H967="Yes",H967="No"),I967&lt;&gt;"",OR(F967&lt;&gt;"Supported",E967&lt;&gt;""),OR(G967&lt;&gt;"Supported",AND(F967="Supported",D967&lt;&gt;"",E967&lt;&gt;""))),"Yes","No"))</f>
        <v/>
      </c>
    </row>
    <row r="968" spans="11:11">
      <c r="K968" s="11">
        <f>IF(OR(A968="",C968=""),"",IF(AND(COUNTIF(Responses!$A$6:$A$205,A968)=1,B968&lt;&gt;"",COUNTIFS($A$6:$A$2005,A968,$B$6:$B$2005,B968)=1,OR(F968="Supported",F968="Unsupported",F968="Contradicted"),OR(G968="Supported",G968="Wrong citation",G968="Missing citation"),OR(H968="Yes",H968="No"),I968&lt;&gt;"",OR(F968&lt;&gt;"Supported",E968&lt;&gt;""),OR(G968&lt;&gt;"Supported",AND(F968="Supported",D968&lt;&gt;"",E968&lt;&gt;""))),"Yes","No"))</f>
        <v/>
      </c>
    </row>
    <row r="969" spans="11:11">
      <c r="K969" s="11">
        <f>IF(OR(A969="",C969=""),"",IF(AND(COUNTIF(Responses!$A$6:$A$205,A969)=1,B969&lt;&gt;"",COUNTIFS($A$6:$A$2005,A969,$B$6:$B$2005,B969)=1,OR(F969="Supported",F969="Unsupported",F969="Contradicted"),OR(G969="Supported",G969="Wrong citation",G969="Missing citation"),OR(H969="Yes",H969="No"),I969&lt;&gt;"",OR(F969&lt;&gt;"Supported",E969&lt;&gt;""),OR(G969&lt;&gt;"Supported",AND(F969="Supported",D969&lt;&gt;"",E969&lt;&gt;""))),"Yes","No"))</f>
        <v/>
      </c>
    </row>
    <row r="970" spans="11:11">
      <c r="K970" s="11">
        <f>IF(OR(A970="",C970=""),"",IF(AND(COUNTIF(Responses!$A$6:$A$205,A970)=1,B970&lt;&gt;"",COUNTIFS($A$6:$A$2005,A970,$B$6:$B$2005,B970)=1,OR(F970="Supported",F970="Unsupported",F970="Contradicted"),OR(G970="Supported",G970="Wrong citation",G970="Missing citation"),OR(H970="Yes",H970="No"),I970&lt;&gt;"",OR(F970&lt;&gt;"Supported",E970&lt;&gt;""),OR(G970&lt;&gt;"Supported",AND(F970="Supported",D970&lt;&gt;"",E970&lt;&gt;""))),"Yes","No"))</f>
        <v/>
      </c>
    </row>
    <row r="971" spans="11:11">
      <c r="K971" s="11">
        <f>IF(OR(A971="",C971=""),"",IF(AND(COUNTIF(Responses!$A$6:$A$205,A971)=1,B971&lt;&gt;"",COUNTIFS($A$6:$A$2005,A971,$B$6:$B$2005,B971)=1,OR(F971="Supported",F971="Unsupported",F971="Contradicted"),OR(G971="Supported",G971="Wrong citation",G971="Missing citation"),OR(H971="Yes",H971="No"),I971&lt;&gt;"",OR(F971&lt;&gt;"Supported",E971&lt;&gt;""),OR(G971&lt;&gt;"Supported",AND(F971="Supported",D971&lt;&gt;"",E971&lt;&gt;""))),"Yes","No"))</f>
        <v/>
      </c>
    </row>
    <row r="972" spans="11:11">
      <c r="K972" s="11">
        <f>IF(OR(A972="",C972=""),"",IF(AND(COUNTIF(Responses!$A$6:$A$205,A972)=1,B972&lt;&gt;"",COUNTIFS($A$6:$A$2005,A972,$B$6:$B$2005,B972)=1,OR(F972="Supported",F972="Unsupported",F972="Contradicted"),OR(G972="Supported",G972="Wrong citation",G972="Missing citation"),OR(H972="Yes",H972="No"),I972&lt;&gt;"",OR(F972&lt;&gt;"Supported",E972&lt;&gt;""),OR(G972&lt;&gt;"Supported",AND(F972="Supported",D972&lt;&gt;"",E972&lt;&gt;""))),"Yes","No"))</f>
        <v/>
      </c>
    </row>
    <row r="973" spans="11:11">
      <c r="K973" s="11">
        <f>IF(OR(A973="",C973=""),"",IF(AND(COUNTIF(Responses!$A$6:$A$205,A973)=1,B973&lt;&gt;"",COUNTIFS($A$6:$A$2005,A973,$B$6:$B$2005,B973)=1,OR(F973="Supported",F973="Unsupported",F973="Contradicted"),OR(G973="Supported",G973="Wrong citation",G973="Missing citation"),OR(H973="Yes",H973="No"),I973&lt;&gt;"",OR(F973&lt;&gt;"Supported",E973&lt;&gt;""),OR(G973&lt;&gt;"Supported",AND(F973="Supported",D973&lt;&gt;"",E973&lt;&gt;""))),"Yes","No"))</f>
        <v/>
      </c>
    </row>
    <row r="974" spans="11:11">
      <c r="K974" s="11">
        <f>IF(OR(A974="",C974=""),"",IF(AND(COUNTIF(Responses!$A$6:$A$205,A974)=1,B974&lt;&gt;"",COUNTIFS($A$6:$A$2005,A974,$B$6:$B$2005,B974)=1,OR(F974="Supported",F974="Unsupported",F974="Contradicted"),OR(G974="Supported",G974="Wrong citation",G974="Missing citation"),OR(H974="Yes",H974="No"),I974&lt;&gt;"",OR(F974&lt;&gt;"Supported",E974&lt;&gt;""),OR(G974&lt;&gt;"Supported",AND(F974="Supported",D974&lt;&gt;"",E974&lt;&gt;""))),"Yes","No"))</f>
        <v/>
      </c>
    </row>
    <row r="975" spans="11:11">
      <c r="K975" s="11">
        <f>IF(OR(A975="",C975=""),"",IF(AND(COUNTIF(Responses!$A$6:$A$205,A975)=1,B975&lt;&gt;"",COUNTIFS($A$6:$A$2005,A975,$B$6:$B$2005,B975)=1,OR(F975="Supported",F975="Unsupported",F975="Contradicted"),OR(G975="Supported",G975="Wrong citation",G975="Missing citation"),OR(H975="Yes",H975="No"),I975&lt;&gt;"",OR(F975&lt;&gt;"Supported",E975&lt;&gt;""),OR(G975&lt;&gt;"Supported",AND(F975="Supported",D975&lt;&gt;"",E975&lt;&gt;""))),"Yes","No"))</f>
        <v/>
      </c>
    </row>
    <row r="976" spans="11:11">
      <c r="K976" s="11">
        <f>IF(OR(A976="",C976=""),"",IF(AND(COUNTIF(Responses!$A$6:$A$205,A976)=1,B976&lt;&gt;"",COUNTIFS($A$6:$A$2005,A976,$B$6:$B$2005,B976)=1,OR(F976="Supported",F976="Unsupported",F976="Contradicted"),OR(G976="Supported",G976="Wrong citation",G976="Missing citation"),OR(H976="Yes",H976="No"),I976&lt;&gt;"",OR(F976&lt;&gt;"Supported",E976&lt;&gt;""),OR(G976&lt;&gt;"Supported",AND(F976="Supported",D976&lt;&gt;"",E976&lt;&gt;""))),"Yes","No"))</f>
        <v/>
      </c>
    </row>
    <row r="977" spans="11:11">
      <c r="K977" s="11">
        <f>IF(OR(A977="",C977=""),"",IF(AND(COUNTIF(Responses!$A$6:$A$205,A977)=1,B977&lt;&gt;"",COUNTIFS($A$6:$A$2005,A977,$B$6:$B$2005,B977)=1,OR(F977="Supported",F977="Unsupported",F977="Contradicted"),OR(G977="Supported",G977="Wrong citation",G977="Missing citation"),OR(H977="Yes",H977="No"),I977&lt;&gt;"",OR(F977&lt;&gt;"Supported",E977&lt;&gt;""),OR(G977&lt;&gt;"Supported",AND(F977="Supported",D977&lt;&gt;"",E977&lt;&gt;""))),"Yes","No"))</f>
        <v/>
      </c>
    </row>
    <row r="978" spans="11:11">
      <c r="K978" s="11">
        <f>IF(OR(A978="",C978=""),"",IF(AND(COUNTIF(Responses!$A$6:$A$205,A978)=1,B978&lt;&gt;"",COUNTIFS($A$6:$A$2005,A978,$B$6:$B$2005,B978)=1,OR(F978="Supported",F978="Unsupported",F978="Contradicted"),OR(G978="Supported",G978="Wrong citation",G978="Missing citation"),OR(H978="Yes",H978="No"),I978&lt;&gt;"",OR(F978&lt;&gt;"Supported",E978&lt;&gt;""),OR(G978&lt;&gt;"Supported",AND(F978="Supported",D978&lt;&gt;"",E978&lt;&gt;""))),"Yes","No"))</f>
        <v/>
      </c>
    </row>
    <row r="979" spans="11:11">
      <c r="K979" s="11">
        <f>IF(OR(A979="",C979=""),"",IF(AND(COUNTIF(Responses!$A$6:$A$205,A979)=1,B979&lt;&gt;"",COUNTIFS($A$6:$A$2005,A979,$B$6:$B$2005,B979)=1,OR(F979="Supported",F979="Unsupported",F979="Contradicted"),OR(G979="Supported",G979="Wrong citation",G979="Missing citation"),OR(H979="Yes",H979="No"),I979&lt;&gt;"",OR(F979&lt;&gt;"Supported",E979&lt;&gt;""),OR(G979&lt;&gt;"Supported",AND(F979="Supported",D979&lt;&gt;"",E979&lt;&gt;""))),"Yes","No"))</f>
        <v/>
      </c>
    </row>
    <row r="980" spans="11:11">
      <c r="K980" s="11">
        <f>IF(OR(A980="",C980=""),"",IF(AND(COUNTIF(Responses!$A$6:$A$205,A980)=1,B980&lt;&gt;"",COUNTIFS($A$6:$A$2005,A980,$B$6:$B$2005,B980)=1,OR(F980="Supported",F980="Unsupported",F980="Contradicted"),OR(G980="Supported",G980="Wrong citation",G980="Missing citation"),OR(H980="Yes",H980="No"),I980&lt;&gt;"",OR(F980&lt;&gt;"Supported",E980&lt;&gt;""),OR(G980&lt;&gt;"Supported",AND(F980="Supported",D980&lt;&gt;"",E980&lt;&gt;""))),"Yes","No"))</f>
        <v/>
      </c>
    </row>
    <row r="981" spans="11:11">
      <c r="K981" s="11">
        <f>IF(OR(A981="",C981=""),"",IF(AND(COUNTIF(Responses!$A$6:$A$205,A981)=1,B981&lt;&gt;"",COUNTIFS($A$6:$A$2005,A981,$B$6:$B$2005,B981)=1,OR(F981="Supported",F981="Unsupported",F981="Contradicted"),OR(G981="Supported",G981="Wrong citation",G981="Missing citation"),OR(H981="Yes",H981="No"),I981&lt;&gt;"",OR(F981&lt;&gt;"Supported",E981&lt;&gt;""),OR(G981&lt;&gt;"Supported",AND(F981="Supported",D981&lt;&gt;"",E981&lt;&gt;""))),"Yes","No"))</f>
        <v/>
      </c>
    </row>
    <row r="982" spans="11:11">
      <c r="K982" s="11">
        <f>IF(OR(A982="",C982=""),"",IF(AND(COUNTIF(Responses!$A$6:$A$205,A982)=1,B982&lt;&gt;"",COUNTIFS($A$6:$A$2005,A982,$B$6:$B$2005,B982)=1,OR(F982="Supported",F982="Unsupported",F982="Contradicted"),OR(G982="Supported",G982="Wrong citation",G982="Missing citation"),OR(H982="Yes",H982="No"),I982&lt;&gt;"",OR(F982&lt;&gt;"Supported",E982&lt;&gt;""),OR(G982&lt;&gt;"Supported",AND(F982="Supported",D982&lt;&gt;"",E982&lt;&gt;""))),"Yes","No"))</f>
        <v/>
      </c>
    </row>
    <row r="983" spans="11:11">
      <c r="K983" s="11">
        <f>IF(OR(A983="",C983=""),"",IF(AND(COUNTIF(Responses!$A$6:$A$205,A983)=1,B983&lt;&gt;"",COUNTIFS($A$6:$A$2005,A983,$B$6:$B$2005,B983)=1,OR(F983="Supported",F983="Unsupported",F983="Contradicted"),OR(G983="Supported",G983="Wrong citation",G983="Missing citation"),OR(H983="Yes",H983="No"),I983&lt;&gt;"",OR(F983&lt;&gt;"Supported",E983&lt;&gt;""),OR(G983&lt;&gt;"Supported",AND(F983="Supported",D983&lt;&gt;"",E983&lt;&gt;""))),"Yes","No"))</f>
        <v/>
      </c>
    </row>
    <row r="984" spans="11:11">
      <c r="K984" s="11">
        <f>IF(OR(A984="",C984=""),"",IF(AND(COUNTIF(Responses!$A$6:$A$205,A984)=1,B984&lt;&gt;"",COUNTIFS($A$6:$A$2005,A984,$B$6:$B$2005,B984)=1,OR(F984="Supported",F984="Unsupported",F984="Contradicted"),OR(G984="Supported",G984="Wrong citation",G984="Missing citation"),OR(H984="Yes",H984="No"),I984&lt;&gt;"",OR(F984&lt;&gt;"Supported",E984&lt;&gt;""),OR(G984&lt;&gt;"Supported",AND(F984="Supported",D984&lt;&gt;"",E984&lt;&gt;""))),"Yes","No"))</f>
        <v/>
      </c>
    </row>
    <row r="985" spans="11:11">
      <c r="K985" s="11">
        <f>IF(OR(A985="",C985=""),"",IF(AND(COUNTIF(Responses!$A$6:$A$205,A985)=1,B985&lt;&gt;"",COUNTIFS($A$6:$A$2005,A985,$B$6:$B$2005,B985)=1,OR(F985="Supported",F985="Unsupported",F985="Contradicted"),OR(G985="Supported",G985="Wrong citation",G985="Missing citation"),OR(H985="Yes",H985="No"),I985&lt;&gt;"",OR(F985&lt;&gt;"Supported",E985&lt;&gt;""),OR(G985&lt;&gt;"Supported",AND(F985="Supported",D985&lt;&gt;"",E985&lt;&gt;""))),"Yes","No"))</f>
        <v/>
      </c>
    </row>
    <row r="986" spans="11:11">
      <c r="K986" s="11">
        <f>IF(OR(A986="",C986=""),"",IF(AND(COUNTIF(Responses!$A$6:$A$205,A986)=1,B986&lt;&gt;"",COUNTIFS($A$6:$A$2005,A986,$B$6:$B$2005,B986)=1,OR(F986="Supported",F986="Unsupported",F986="Contradicted"),OR(G986="Supported",G986="Wrong citation",G986="Missing citation"),OR(H986="Yes",H986="No"),I986&lt;&gt;"",OR(F986&lt;&gt;"Supported",E986&lt;&gt;""),OR(G986&lt;&gt;"Supported",AND(F986="Supported",D986&lt;&gt;"",E986&lt;&gt;""))),"Yes","No"))</f>
        <v/>
      </c>
    </row>
    <row r="987" spans="11:11">
      <c r="K987" s="11">
        <f>IF(OR(A987="",C987=""),"",IF(AND(COUNTIF(Responses!$A$6:$A$205,A987)=1,B987&lt;&gt;"",COUNTIFS($A$6:$A$2005,A987,$B$6:$B$2005,B987)=1,OR(F987="Supported",F987="Unsupported",F987="Contradicted"),OR(G987="Supported",G987="Wrong citation",G987="Missing citation"),OR(H987="Yes",H987="No"),I987&lt;&gt;"",OR(F987&lt;&gt;"Supported",E987&lt;&gt;""),OR(G987&lt;&gt;"Supported",AND(F987="Supported",D987&lt;&gt;"",E987&lt;&gt;""))),"Yes","No"))</f>
        <v/>
      </c>
    </row>
    <row r="988" spans="11:11">
      <c r="K988" s="11">
        <f>IF(OR(A988="",C988=""),"",IF(AND(COUNTIF(Responses!$A$6:$A$205,A988)=1,B988&lt;&gt;"",COUNTIFS($A$6:$A$2005,A988,$B$6:$B$2005,B988)=1,OR(F988="Supported",F988="Unsupported",F988="Contradicted"),OR(G988="Supported",G988="Wrong citation",G988="Missing citation"),OR(H988="Yes",H988="No"),I988&lt;&gt;"",OR(F988&lt;&gt;"Supported",E988&lt;&gt;""),OR(G988&lt;&gt;"Supported",AND(F988="Supported",D988&lt;&gt;"",E988&lt;&gt;""))),"Yes","No"))</f>
        <v/>
      </c>
    </row>
    <row r="989" spans="11:11">
      <c r="K989" s="11">
        <f>IF(OR(A989="",C989=""),"",IF(AND(COUNTIF(Responses!$A$6:$A$205,A989)=1,B989&lt;&gt;"",COUNTIFS($A$6:$A$2005,A989,$B$6:$B$2005,B989)=1,OR(F989="Supported",F989="Unsupported",F989="Contradicted"),OR(G989="Supported",G989="Wrong citation",G989="Missing citation"),OR(H989="Yes",H989="No"),I989&lt;&gt;"",OR(F989&lt;&gt;"Supported",E989&lt;&gt;""),OR(G989&lt;&gt;"Supported",AND(F989="Supported",D989&lt;&gt;"",E989&lt;&gt;""))),"Yes","No"))</f>
        <v/>
      </c>
    </row>
    <row r="990" spans="11:11">
      <c r="K990" s="11">
        <f>IF(OR(A990="",C990=""),"",IF(AND(COUNTIF(Responses!$A$6:$A$205,A990)=1,B990&lt;&gt;"",COUNTIFS($A$6:$A$2005,A990,$B$6:$B$2005,B990)=1,OR(F990="Supported",F990="Unsupported",F990="Contradicted"),OR(G990="Supported",G990="Wrong citation",G990="Missing citation"),OR(H990="Yes",H990="No"),I990&lt;&gt;"",OR(F990&lt;&gt;"Supported",E990&lt;&gt;""),OR(G990&lt;&gt;"Supported",AND(F990="Supported",D990&lt;&gt;"",E990&lt;&gt;""))),"Yes","No"))</f>
        <v/>
      </c>
    </row>
    <row r="991" spans="11:11">
      <c r="K991" s="11">
        <f>IF(OR(A991="",C991=""),"",IF(AND(COUNTIF(Responses!$A$6:$A$205,A991)=1,B991&lt;&gt;"",COUNTIFS($A$6:$A$2005,A991,$B$6:$B$2005,B991)=1,OR(F991="Supported",F991="Unsupported",F991="Contradicted"),OR(G991="Supported",G991="Wrong citation",G991="Missing citation"),OR(H991="Yes",H991="No"),I991&lt;&gt;"",OR(F991&lt;&gt;"Supported",E991&lt;&gt;""),OR(G991&lt;&gt;"Supported",AND(F991="Supported",D991&lt;&gt;"",E991&lt;&gt;""))),"Yes","No"))</f>
        <v/>
      </c>
    </row>
    <row r="992" spans="11:11">
      <c r="K992" s="11">
        <f>IF(OR(A992="",C992=""),"",IF(AND(COUNTIF(Responses!$A$6:$A$205,A992)=1,B992&lt;&gt;"",COUNTIFS($A$6:$A$2005,A992,$B$6:$B$2005,B992)=1,OR(F992="Supported",F992="Unsupported",F992="Contradicted"),OR(G992="Supported",G992="Wrong citation",G992="Missing citation"),OR(H992="Yes",H992="No"),I992&lt;&gt;"",OR(F992&lt;&gt;"Supported",E992&lt;&gt;""),OR(G992&lt;&gt;"Supported",AND(F992="Supported",D992&lt;&gt;"",E992&lt;&gt;""))),"Yes","No"))</f>
        <v/>
      </c>
    </row>
    <row r="993" spans="11:11">
      <c r="K993" s="11">
        <f>IF(OR(A993="",C993=""),"",IF(AND(COUNTIF(Responses!$A$6:$A$205,A993)=1,B993&lt;&gt;"",COUNTIFS($A$6:$A$2005,A993,$B$6:$B$2005,B993)=1,OR(F993="Supported",F993="Unsupported",F993="Contradicted"),OR(G993="Supported",G993="Wrong citation",G993="Missing citation"),OR(H993="Yes",H993="No"),I993&lt;&gt;"",OR(F993&lt;&gt;"Supported",E993&lt;&gt;""),OR(G993&lt;&gt;"Supported",AND(F993="Supported",D993&lt;&gt;"",E993&lt;&gt;""))),"Yes","No"))</f>
        <v/>
      </c>
    </row>
    <row r="994" spans="11:11">
      <c r="K994" s="11">
        <f>IF(OR(A994="",C994=""),"",IF(AND(COUNTIF(Responses!$A$6:$A$205,A994)=1,B994&lt;&gt;"",COUNTIFS($A$6:$A$2005,A994,$B$6:$B$2005,B994)=1,OR(F994="Supported",F994="Unsupported",F994="Contradicted"),OR(G994="Supported",G994="Wrong citation",G994="Missing citation"),OR(H994="Yes",H994="No"),I994&lt;&gt;"",OR(F994&lt;&gt;"Supported",E994&lt;&gt;""),OR(G994&lt;&gt;"Supported",AND(F994="Supported",D994&lt;&gt;"",E994&lt;&gt;""))),"Yes","No"))</f>
        <v/>
      </c>
    </row>
    <row r="995" spans="11:11">
      <c r="K995" s="11">
        <f>IF(OR(A995="",C995=""),"",IF(AND(COUNTIF(Responses!$A$6:$A$205,A995)=1,B995&lt;&gt;"",COUNTIFS($A$6:$A$2005,A995,$B$6:$B$2005,B995)=1,OR(F995="Supported",F995="Unsupported",F995="Contradicted"),OR(G995="Supported",G995="Wrong citation",G995="Missing citation"),OR(H995="Yes",H995="No"),I995&lt;&gt;"",OR(F995&lt;&gt;"Supported",E995&lt;&gt;""),OR(G995&lt;&gt;"Supported",AND(F995="Supported",D995&lt;&gt;"",E995&lt;&gt;""))),"Yes","No"))</f>
        <v/>
      </c>
    </row>
    <row r="996" spans="11:11">
      <c r="K996" s="11">
        <f>IF(OR(A996="",C996=""),"",IF(AND(COUNTIF(Responses!$A$6:$A$205,A996)=1,B996&lt;&gt;"",COUNTIFS($A$6:$A$2005,A996,$B$6:$B$2005,B996)=1,OR(F996="Supported",F996="Unsupported",F996="Contradicted"),OR(G996="Supported",G996="Wrong citation",G996="Missing citation"),OR(H996="Yes",H996="No"),I996&lt;&gt;"",OR(F996&lt;&gt;"Supported",E996&lt;&gt;""),OR(G996&lt;&gt;"Supported",AND(F996="Supported",D996&lt;&gt;"",E996&lt;&gt;""))),"Yes","No"))</f>
        <v/>
      </c>
    </row>
    <row r="997" spans="11:11">
      <c r="K997" s="11">
        <f>IF(OR(A997="",C997=""),"",IF(AND(COUNTIF(Responses!$A$6:$A$205,A997)=1,B997&lt;&gt;"",COUNTIFS($A$6:$A$2005,A997,$B$6:$B$2005,B997)=1,OR(F997="Supported",F997="Unsupported",F997="Contradicted"),OR(G997="Supported",G997="Wrong citation",G997="Missing citation"),OR(H997="Yes",H997="No"),I997&lt;&gt;"",OR(F997&lt;&gt;"Supported",E997&lt;&gt;""),OR(G997&lt;&gt;"Supported",AND(F997="Supported",D997&lt;&gt;"",E997&lt;&gt;""))),"Yes","No"))</f>
        <v/>
      </c>
    </row>
    <row r="998" spans="11:11">
      <c r="K998" s="11">
        <f>IF(OR(A998="",C998=""),"",IF(AND(COUNTIF(Responses!$A$6:$A$205,A998)=1,B998&lt;&gt;"",COUNTIFS($A$6:$A$2005,A998,$B$6:$B$2005,B998)=1,OR(F998="Supported",F998="Unsupported",F998="Contradicted"),OR(G998="Supported",G998="Wrong citation",G998="Missing citation"),OR(H998="Yes",H998="No"),I998&lt;&gt;"",OR(F998&lt;&gt;"Supported",E998&lt;&gt;""),OR(G998&lt;&gt;"Supported",AND(F998="Supported",D998&lt;&gt;"",E998&lt;&gt;""))),"Yes","No"))</f>
        <v/>
      </c>
    </row>
    <row r="999" spans="11:11">
      <c r="K999" s="11">
        <f>IF(OR(A999="",C999=""),"",IF(AND(COUNTIF(Responses!$A$6:$A$205,A999)=1,B999&lt;&gt;"",COUNTIFS($A$6:$A$2005,A999,$B$6:$B$2005,B999)=1,OR(F999="Supported",F999="Unsupported",F999="Contradicted"),OR(G999="Supported",G999="Wrong citation",G999="Missing citation"),OR(H999="Yes",H999="No"),I999&lt;&gt;"",OR(F999&lt;&gt;"Supported",E999&lt;&gt;""),OR(G999&lt;&gt;"Supported",AND(F999="Supported",D999&lt;&gt;"",E999&lt;&gt;""))),"Yes","No"))</f>
        <v/>
      </c>
    </row>
    <row r="1000" spans="11:11">
      <c r="K1000" s="11">
        <f>IF(OR(A1000="",C1000=""),"",IF(AND(COUNTIF(Responses!$A$6:$A$205,A1000)=1,B1000&lt;&gt;"",COUNTIFS($A$6:$A$2005,A1000,$B$6:$B$2005,B1000)=1,OR(F1000="Supported",F1000="Unsupported",F1000="Contradicted"),OR(G1000="Supported",G1000="Wrong citation",G1000="Missing citation"),OR(H1000="Yes",H1000="No"),I1000&lt;&gt;"",OR(F1000&lt;&gt;"Supported",E1000&lt;&gt;""),OR(G1000&lt;&gt;"Supported",AND(F1000="Supported",D1000&lt;&gt;"",E1000&lt;&gt;""))),"Yes","No"))</f>
        <v/>
      </c>
    </row>
    <row r="1001" spans="11:11">
      <c r="K1001" s="11">
        <f>IF(OR(A1001="",C1001=""),"",IF(AND(COUNTIF(Responses!$A$6:$A$205,A1001)=1,B1001&lt;&gt;"",COUNTIFS($A$6:$A$2005,A1001,$B$6:$B$2005,B1001)=1,OR(F1001="Supported",F1001="Unsupported",F1001="Contradicted"),OR(G1001="Supported",G1001="Wrong citation",G1001="Missing citation"),OR(H1001="Yes",H1001="No"),I1001&lt;&gt;"",OR(F1001&lt;&gt;"Supported",E1001&lt;&gt;""),OR(G1001&lt;&gt;"Supported",AND(F1001="Supported",D1001&lt;&gt;"",E1001&lt;&gt;""))),"Yes","No"))</f>
        <v/>
      </c>
    </row>
    <row r="1002" spans="11:11">
      <c r="K1002" s="11">
        <f>IF(OR(A1002="",C1002=""),"",IF(AND(COUNTIF(Responses!$A$6:$A$205,A1002)=1,B1002&lt;&gt;"",COUNTIFS($A$6:$A$2005,A1002,$B$6:$B$2005,B1002)=1,OR(F1002="Supported",F1002="Unsupported",F1002="Contradicted"),OR(G1002="Supported",G1002="Wrong citation",G1002="Missing citation"),OR(H1002="Yes",H1002="No"),I1002&lt;&gt;"",OR(F1002&lt;&gt;"Supported",E1002&lt;&gt;""),OR(G1002&lt;&gt;"Supported",AND(F1002="Supported",D1002&lt;&gt;"",E1002&lt;&gt;""))),"Yes","No"))</f>
        <v/>
      </c>
    </row>
    <row r="1003" spans="11:11">
      <c r="K1003" s="11">
        <f>IF(OR(A1003="",C1003=""),"",IF(AND(COUNTIF(Responses!$A$6:$A$205,A1003)=1,B1003&lt;&gt;"",COUNTIFS($A$6:$A$2005,A1003,$B$6:$B$2005,B1003)=1,OR(F1003="Supported",F1003="Unsupported",F1003="Contradicted"),OR(G1003="Supported",G1003="Wrong citation",G1003="Missing citation"),OR(H1003="Yes",H1003="No"),I1003&lt;&gt;"",OR(F1003&lt;&gt;"Supported",E1003&lt;&gt;""),OR(G1003&lt;&gt;"Supported",AND(F1003="Supported",D1003&lt;&gt;"",E1003&lt;&gt;""))),"Yes","No"))</f>
        <v/>
      </c>
    </row>
    <row r="1004" spans="11:11">
      <c r="K1004" s="11">
        <f>IF(OR(A1004="",C1004=""),"",IF(AND(COUNTIF(Responses!$A$6:$A$205,A1004)=1,B1004&lt;&gt;"",COUNTIFS($A$6:$A$2005,A1004,$B$6:$B$2005,B1004)=1,OR(F1004="Supported",F1004="Unsupported",F1004="Contradicted"),OR(G1004="Supported",G1004="Wrong citation",G1004="Missing citation"),OR(H1004="Yes",H1004="No"),I1004&lt;&gt;"",OR(F1004&lt;&gt;"Supported",E1004&lt;&gt;""),OR(G1004&lt;&gt;"Supported",AND(F1004="Supported",D1004&lt;&gt;"",E1004&lt;&gt;""))),"Yes","No"))</f>
        <v/>
      </c>
    </row>
    <row r="1005" spans="11:11">
      <c r="K1005" s="11">
        <f>IF(OR(A1005="",C1005=""),"",IF(AND(COUNTIF(Responses!$A$6:$A$205,A1005)=1,B1005&lt;&gt;"",COUNTIFS($A$6:$A$2005,A1005,$B$6:$B$2005,B1005)=1,OR(F1005="Supported",F1005="Unsupported",F1005="Contradicted"),OR(G1005="Supported",G1005="Wrong citation",G1005="Missing citation"),OR(H1005="Yes",H1005="No"),I1005&lt;&gt;"",OR(F1005&lt;&gt;"Supported",E1005&lt;&gt;""),OR(G1005&lt;&gt;"Supported",AND(F1005="Supported",D1005&lt;&gt;"",E1005&lt;&gt;""))),"Yes","No"))</f>
        <v/>
      </c>
    </row>
    <row r="1006" spans="11:11">
      <c r="K1006" s="11">
        <f>IF(OR(A1006="",C1006=""),"",IF(AND(COUNTIF(Responses!$A$6:$A$205,A1006)=1,B1006&lt;&gt;"",COUNTIFS($A$6:$A$2005,A1006,$B$6:$B$2005,B1006)=1,OR(F1006="Supported",F1006="Unsupported",F1006="Contradicted"),OR(G1006="Supported",G1006="Wrong citation",G1006="Missing citation"),OR(H1006="Yes",H1006="No"),I1006&lt;&gt;"",OR(F1006&lt;&gt;"Supported",E1006&lt;&gt;""),OR(G1006&lt;&gt;"Supported",AND(F1006="Supported",D1006&lt;&gt;"",E1006&lt;&gt;""))),"Yes","No"))</f>
        <v/>
      </c>
    </row>
    <row r="1007" spans="11:11">
      <c r="K1007" s="11">
        <f>IF(OR(A1007="",C1007=""),"",IF(AND(COUNTIF(Responses!$A$6:$A$205,A1007)=1,B1007&lt;&gt;"",COUNTIFS($A$6:$A$2005,A1007,$B$6:$B$2005,B1007)=1,OR(F1007="Supported",F1007="Unsupported",F1007="Contradicted"),OR(G1007="Supported",G1007="Wrong citation",G1007="Missing citation"),OR(H1007="Yes",H1007="No"),I1007&lt;&gt;"",OR(F1007&lt;&gt;"Supported",E1007&lt;&gt;""),OR(G1007&lt;&gt;"Supported",AND(F1007="Supported",D1007&lt;&gt;"",E1007&lt;&gt;""))),"Yes","No"))</f>
        <v/>
      </c>
    </row>
    <row r="1008" spans="11:11">
      <c r="K1008" s="11">
        <f>IF(OR(A1008="",C1008=""),"",IF(AND(COUNTIF(Responses!$A$6:$A$205,A1008)=1,B1008&lt;&gt;"",COUNTIFS($A$6:$A$2005,A1008,$B$6:$B$2005,B1008)=1,OR(F1008="Supported",F1008="Unsupported",F1008="Contradicted"),OR(G1008="Supported",G1008="Wrong citation",G1008="Missing citation"),OR(H1008="Yes",H1008="No"),I1008&lt;&gt;"",OR(F1008&lt;&gt;"Supported",E1008&lt;&gt;""),OR(G1008&lt;&gt;"Supported",AND(F1008="Supported",D1008&lt;&gt;"",E1008&lt;&gt;""))),"Yes","No"))</f>
        <v/>
      </c>
    </row>
    <row r="1009" spans="11:11">
      <c r="K1009" s="11">
        <f>IF(OR(A1009="",C1009=""),"",IF(AND(COUNTIF(Responses!$A$6:$A$205,A1009)=1,B1009&lt;&gt;"",COUNTIFS($A$6:$A$2005,A1009,$B$6:$B$2005,B1009)=1,OR(F1009="Supported",F1009="Unsupported",F1009="Contradicted"),OR(G1009="Supported",G1009="Wrong citation",G1009="Missing citation"),OR(H1009="Yes",H1009="No"),I1009&lt;&gt;"",OR(F1009&lt;&gt;"Supported",E1009&lt;&gt;""),OR(G1009&lt;&gt;"Supported",AND(F1009="Supported",D1009&lt;&gt;"",E1009&lt;&gt;""))),"Yes","No"))</f>
        <v/>
      </c>
    </row>
    <row r="1010" spans="11:11">
      <c r="K1010" s="11">
        <f>IF(OR(A1010="",C1010=""),"",IF(AND(COUNTIF(Responses!$A$6:$A$205,A1010)=1,B1010&lt;&gt;"",COUNTIFS($A$6:$A$2005,A1010,$B$6:$B$2005,B1010)=1,OR(F1010="Supported",F1010="Unsupported",F1010="Contradicted"),OR(G1010="Supported",G1010="Wrong citation",G1010="Missing citation"),OR(H1010="Yes",H1010="No"),I1010&lt;&gt;"",OR(F1010&lt;&gt;"Supported",E1010&lt;&gt;""),OR(G1010&lt;&gt;"Supported",AND(F1010="Supported",D1010&lt;&gt;"",E1010&lt;&gt;""))),"Yes","No"))</f>
        <v/>
      </c>
    </row>
    <row r="1011" spans="11:11">
      <c r="K1011" s="11">
        <f>IF(OR(A1011="",C1011=""),"",IF(AND(COUNTIF(Responses!$A$6:$A$205,A1011)=1,B1011&lt;&gt;"",COUNTIFS($A$6:$A$2005,A1011,$B$6:$B$2005,B1011)=1,OR(F1011="Supported",F1011="Unsupported",F1011="Contradicted"),OR(G1011="Supported",G1011="Wrong citation",G1011="Missing citation"),OR(H1011="Yes",H1011="No"),I1011&lt;&gt;"",OR(F1011&lt;&gt;"Supported",E1011&lt;&gt;""),OR(G1011&lt;&gt;"Supported",AND(F1011="Supported",D1011&lt;&gt;"",E1011&lt;&gt;""))),"Yes","No"))</f>
        <v/>
      </c>
    </row>
    <row r="1012" spans="11:11">
      <c r="K1012" s="11">
        <f>IF(OR(A1012="",C1012=""),"",IF(AND(COUNTIF(Responses!$A$6:$A$205,A1012)=1,B1012&lt;&gt;"",COUNTIFS($A$6:$A$2005,A1012,$B$6:$B$2005,B1012)=1,OR(F1012="Supported",F1012="Unsupported",F1012="Contradicted"),OR(G1012="Supported",G1012="Wrong citation",G1012="Missing citation"),OR(H1012="Yes",H1012="No"),I1012&lt;&gt;"",OR(F1012&lt;&gt;"Supported",E1012&lt;&gt;""),OR(G1012&lt;&gt;"Supported",AND(F1012="Supported",D1012&lt;&gt;"",E1012&lt;&gt;""))),"Yes","No"))</f>
        <v/>
      </c>
    </row>
    <row r="1013" spans="11:11">
      <c r="K1013" s="11">
        <f>IF(OR(A1013="",C1013=""),"",IF(AND(COUNTIF(Responses!$A$6:$A$205,A1013)=1,B1013&lt;&gt;"",COUNTIFS($A$6:$A$2005,A1013,$B$6:$B$2005,B1013)=1,OR(F1013="Supported",F1013="Unsupported",F1013="Contradicted"),OR(G1013="Supported",G1013="Wrong citation",G1013="Missing citation"),OR(H1013="Yes",H1013="No"),I1013&lt;&gt;"",OR(F1013&lt;&gt;"Supported",E1013&lt;&gt;""),OR(G1013&lt;&gt;"Supported",AND(F1013="Supported",D1013&lt;&gt;"",E1013&lt;&gt;""))),"Yes","No"))</f>
        <v/>
      </c>
    </row>
    <row r="1014" spans="11:11">
      <c r="K1014" s="11">
        <f>IF(OR(A1014="",C1014=""),"",IF(AND(COUNTIF(Responses!$A$6:$A$205,A1014)=1,B1014&lt;&gt;"",COUNTIFS($A$6:$A$2005,A1014,$B$6:$B$2005,B1014)=1,OR(F1014="Supported",F1014="Unsupported",F1014="Contradicted"),OR(G1014="Supported",G1014="Wrong citation",G1014="Missing citation"),OR(H1014="Yes",H1014="No"),I1014&lt;&gt;"",OR(F1014&lt;&gt;"Supported",E1014&lt;&gt;""),OR(G1014&lt;&gt;"Supported",AND(F1014="Supported",D1014&lt;&gt;"",E1014&lt;&gt;""))),"Yes","No"))</f>
        <v/>
      </c>
    </row>
    <row r="1015" spans="11:11">
      <c r="K1015" s="11">
        <f>IF(OR(A1015="",C1015=""),"",IF(AND(COUNTIF(Responses!$A$6:$A$205,A1015)=1,B1015&lt;&gt;"",COUNTIFS($A$6:$A$2005,A1015,$B$6:$B$2005,B1015)=1,OR(F1015="Supported",F1015="Unsupported",F1015="Contradicted"),OR(G1015="Supported",G1015="Wrong citation",G1015="Missing citation"),OR(H1015="Yes",H1015="No"),I1015&lt;&gt;"",OR(F1015&lt;&gt;"Supported",E1015&lt;&gt;""),OR(G1015&lt;&gt;"Supported",AND(F1015="Supported",D1015&lt;&gt;"",E1015&lt;&gt;""))),"Yes","No"))</f>
        <v/>
      </c>
    </row>
    <row r="1016" spans="11:11">
      <c r="K1016" s="11">
        <f>IF(OR(A1016="",C1016=""),"",IF(AND(COUNTIF(Responses!$A$6:$A$205,A1016)=1,B1016&lt;&gt;"",COUNTIFS($A$6:$A$2005,A1016,$B$6:$B$2005,B1016)=1,OR(F1016="Supported",F1016="Unsupported",F1016="Contradicted"),OR(G1016="Supported",G1016="Wrong citation",G1016="Missing citation"),OR(H1016="Yes",H1016="No"),I1016&lt;&gt;"",OR(F1016&lt;&gt;"Supported",E1016&lt;&gt;""),OR(G1016&lt;&gt;"Supported",AND(F1016="Supported",D1016&lt;&gt;"",E1016&lt;&gt;""))),"Yes","No"))</f>
        <v/>
      </c>
    </row>
    <row r="1017" spans="11:11">
      <c r="K1017" s="11">
        <f>IF(OR(A1017="",C1017=""),"",IF(AND(COUNTIF(Responses!$A$6:$A$205,A1017)=1,B1017&lt;&gt;"",COUNTIFS($A$6:$A$2005,A1017,$B$6:$B$2005,B1017)=1,OR(F1017="Supported",F1017="Unsupported",F1017="Contradicted"),OR(G1017="Supported",G1017="Wrong citation",G1017="Missing citation"),OR(H1017="Yes",H1017="No"),I1017&lt;&gt;"",OR(F1017&lt;&gt;"Supported",E1017&lt;&gt;""),OR(G1017&lt;&gt;"Supported",AND(F1017="Supported",D1017&lt;&gt;"",E1017&lt;&gt;""))),"Yes","No"))</f>
        <v/>
      </c>
    </row>
    <row r="1018" spans="11:11">
      <c r="K1018" s="11">
        <f>IF(OR(A1018="",C1018=""),"",IF(AND(COUNTIF(Responses!$A$6:$A$205,A1018)=1,B1018&lt;&gt;"",COUNTIFS($A$6:$A$2005,A1018,$B$6:$B$2005,B1018)=1,OR(F1018="Supported",F1018="Unsupported",F1018="Contradicted"),OR(G1018="Supported",G1018="Wrong citation",G1018="Missing citation"),OR(H1018="Yes",H1018="No"),I1018&lt;&gt;"",OR(F1018&lt;&gt;"Supported",E1018&lt;&gt;""),OR(G1018&lt;&gt;"Supported",AND(F1018="Supported",D1018&lt;&gt;"",E1018&lt;&gt;""))),"Yes","No"))</f>
        <v/>
      </c>
    </row>
    <row r="1019" spans="11:11">
      <c r="K1019" s="11">
        <f>IF(OR(A1019="",C1019=""),"",IF(AND(COUNTIF(Responses!$A$6:$A$205,A1019)=1,B1019&lt;&gt;"",COUNTIFS($A$6:$A$2005,A1019,$B$6:$B$2005,B1019)=1,OR(F1019="Supported",F1019="Unsupported",F1019="Contradicted"),OR(G1019="Supported",G1019="Wrong citation",G1019="Missing citation"),OR(H1019="Yes",H1019="No"),I1019&lt;&gt;"",OR(F1019&lt;&gt;"Supported",E1019&lt;&gt;""),OR(G1019&lt;&gt;"Supported",AND(F1019="Supported",D1019&lt;&gt;"",E1019&lt;&gt;""))),"Yes","No"))</f>
        <v/>
      </c>
    </row>
    <row r="1020" spans="11:11">
      <c r="K1020" s="11">
        <f>IF(OR(A1020="",C1020=""),"",IF(AND(COUNTIF(Responses!$A$6:$A$205,A1020)=1,B1020&lt;&gt;"",COUNTIFS($A$6:$A$2005,A1020,$B$6:$B$2005,B1020)=1,OR(F1020="Supported",F1020="Unsupported",F1020="Contradicted"),OR(G1020="Supported",G1020="Wrong citation",G1020="Missing citation"),OR(H1020="Yes",H1020="No"),I1020&lt;&gt;"",OR(F1020&lt;&gt;"Supported",E1020&lt;&gt;""),OR(G1020&lt;&gt;"Supported",AND(F1020="Supported",D1020&lt;&gt;"",E1020&lt;&gt;""))),"Yes","No"))</f>
        <v/>
      </c>
    </row>
    <row r="1021" spans="11:11">
      <c r="K1021" s="11">
        <f>IF(OR(A1021="",C1021=""),"",IF(AND(COUNTIF(Responses!$A$6:$A$205,A1021)=1,B1021&lt;&gt;"",COUNTIFS($A$6:$A$2005,A1021,$B$6:$B$2005,B1021)=1,OR(F1021="Supported",F1021="Unsupported",F1021="Contradicted"),OR(G1021="Supported",G1021="Wrong citation",G1021="Missing citation"),OR(H1021="Yes",H1021="No"),I1021&lt;&gt;"",OR(F1021&lt;&gt;"Supported",E1021&lt;&gt;""),OR(G1021&lt;&gt;"Supported",AND(F1021="Supported",D1021&lt;&gt;"",E1021&lt;&gt;""))),"Yes","No"))</f>
        <v/>
      </c>
    </row>
    <row r="1022" spans="11:11">
      <c r="K1022" s="11">
        <f>IF(OR(A1022="",C1022=""),"",IF(AND(COUNTIF(Responses!$A$6:$A$205,A1022)=1,B1022&lt;&gt;"",COUNTIFS($A$6:$A$2005,A1022,$B$6:$B$2005,B1022)=1,OR(F1022="Supported",F1022="Unsupported",F1022="Contradicted"),OR(G1022="Supported",G1022="Wrong citation",G1022="Missing citation"),OR(H1022="Yes",H1022="No"),I1022&lt;&gt;"",OR(F1022&lt;&gt;"Supported",E1022&lt;&gt;""),OR(G1022&lt;&gt;"Supported",AND(F1022="Supported",D1022&lt;&gt;"",E1022&lt;&gt;""))),"Yes","No"))</f>
        <v/>
      </c>
    </row>
    <row r="1023" spans="11:11">
      <c r="K1023" s="11">
        <f>IF(OR(A1023="",C1023=""),"",IF(AND(COUNTIF(Responses!$A$6:$A$205,A1023)=1,B1023&lt;&gt;"",COUNTIFS($A$6:$A$2005,A1023,$B$6:$B$2005,B1023)=1,OR(F1023="Supported",F1023="Unsupported",F1023="Contradicted"),OR(G1023="Supported",G1023="Wrong citation",G1023="Missing citation"),OR(H1023="Yes",H1023="No"),I1023&lt;&gt;"",OR(F1023&lt;&gt;"Supported",E1023&lt;&gt;""),OR(G1023&lt;&gt;"Supported",AND(F1023="Supported",D1023&lt;&gt;"",E1023&lt;&gt;""))),"Yes","No"))</f>
        <v/>
      </c>
    </row>
    <row r="1024" spans="11:11">
      <c r="K1024" s="11">
        <f>IF(OR(A1024="",C1024=""),"",IF(AND(COUNTIF(Responses!$A$6:$A$205,A1024)=1,B1024&lt;&gt;"",COUNTIFS($A$6:$A$2005,A1024,$B$6:$B$2005,B1024)=1,OR(F1024="Supported",F1024="Unsupported",F1024="Contradicted"),OR(G1024="Supported",G1024="Wrong citation",G1024="Missing citation"),OR(H1024="Yes",H1024="No"),I1024&lt;&gt;"",OR(F1024&lt;&gt;"Supported",E1024&lt;&gt;""),OR(G1024&lt;&gt;"Supported",AND(F1024="Supported",D1024&lt;&gt;"",E1024&lt;&gt;""))),"Yes","No"))</f>
        <v/>
      </c>
    </row>
    <row r="1025" spans="11:11">
      <c r="K1025" s="11">
        <f>IF(OR(A1025="",C1025=""),"",IF(AND(COUNTIF(Responses!$A$6:$A$205,A1025)=1,B1025&lt;&gt;"",COUNTIFS($A$6:$A$2005,A1025,$B$6:$B$2005,B1025)=1,OR(F1025="Supported",F1025="Unsupported",F1025="Contradicted"),OR(G1025="Supported",G1025="Wrong citation",G1025="Missing citation"),OR(H1025="Yes",H1025="No"),I1025&lt;&gt;"",OR(F1025&lt;&gt;"Supported",E1025&lt;&gt;""),OR(G1025&lt;&gt;"Supported",AND(F1025="Supported",D1025&lt;&gt;"",E1025&lt;&gt;""))),"Yes","No"))</f>
        <v/>
      </c>
    </row>
    <row r="1026" spans="11:11">
      <c r="K1026" s="11">
        <f>IF(OR(A1026="",C1026=""),"",IF(AND(COUNTIF(Responses!$A$6:$A$205,A1026)=1,B1026&lt;&gt;"",COUNTIFS($A$6:$A$2005,A1026,$B$6:$B$2005,B1026)=1,OR(F1026="Supported",F1026="Unsupported",F1026="Contradicted"),OR(G1026="Supported",G1026="Wrong citation",G1026="Missing citation"),OR(H1026="Yes",H1026="No"),I1026&lt;&gt;"",OR(F1026&lt;&gt;"Supported",E1026&lt;&gt;""),OR(G1026&lt;&gt;"Supported",AND(F1026="Supported",D1026&lt;&gt;"",E1026&lt;&gt;""))),"Yes","No"))</f>
        <v/>
      </c>
    </row>
    <row r="1027" spans="11:11">
      <c r="K1027" s="11">
        <f>IF(OR(A1027="",C1027=""),"",IF(AND(COUNTIF(Responses!$A$6:$A$205,A1027)=1,B1027&lt;&gt;"",COUNTIFS($A$6:$A$2005,A1027,$B$6:$B$2005,B1027)=1,OR(F1027="Supported",F1027="Unsupported",F1027="Contradicted"),OR(G1027="Supported",G1027="Wrong citation",G1027="Missing citation"),OR(H1027="Yes",H1027="No"),I1027&lt;&gt;"",OR(F1027&lt;&gt;"Supported",E1027&lt;&gt;""),OR(G1027&lt;&gt;"Supported",AND(F1027="Supported",D1027&lt;&gt;"",E1027&lt;&gt;""))),"Yes","No"))</f>
        <v/>
      </c>
    </row>
    <row r="1028" spans="11:11">
      <c r="K1028" s="11">
        <f>IF(OR(A1028="",C1028=""),"",IF(AND(COUNTIF(Responses!$A$6:$A$205,A1028)=1,B1028&lt;&gt;"",COUNTIFS($A$6:$A$2005,A1028,$B$6:$B$2005,B1028)=1,OR(F1028="Supported",F1028="Unsupported",F1028="Contradicted"),OR(G1028="Supported",G1028="Wrong citation",G1028="Missing citation"),OR(H1028="Yes",H1028="No"),I1028&lt;&gt;"",OR(F1028&lt;&gt;"Supported",E1028&lt;&gt;""),OR(G1028&lt;&gt;"Supported",AND(F1028="Supported",D1028&lt;&gt;"",E1028&lt;&gt;""))),"Yes","No"))</f>
        <v/>
      </c>
    </row>
    <row r="1029" spans="11:11">
      <c r="K1029" s="11">
        <f>IF(OR(A1029="",C1029=""),"",IF(AND(COUNTIF(Responses!$A$6:$A$205,A1029)=1,B1029&lt;&gt;"",COUNTIFS($A$6:$A$2005,A1029,$B$6:$B$2005,B1029)=1,OR(F1029="Supported",F1029="Unsupported",F1029="Contradicted"),OR(G1029="Supported",G1029="Wrong citation",G1029="Missing citation"),OR(H1029="Yes",H1029="No"),I1029&lt;&gt;"",OR(F1029&lt;&gt;"Supported",E1029&lt;&gt;""),OR(G1029&lt;&gt;"Supported",AND(F1029="Supported",D1029&lt;&gt;"",E1029&lt;&gt;""))),"Yes","No"))</f>
        <v/>
      </c>
    </row>
    <row r="1030" spans="11:11">
      <c r="K1030" s="11">
        <f>IF(OR(A1030="",C1030=""),"",IF(AND(COUNTIF(Responses!$A$6:$A$205,A1030)=1,B1030&lt;&gt;"",COUNTIFS($A$6:$A$2005,A1030,$B$6:$B$2005,B1030)=1,OR(F1030="Supported",F1030="Unsupported",F1030="Contradicted"),OR(G1030="Supported",G1030="Wrong citation",G1030="Missing citation"),OR(H1030="Yes",H1030="No"),I1030&lt;&gt;"",OR(F1030&lt;&gt;"Supported",E1030&lt;&gt;""),OR(G1030&lt;&gt;"Supported",AND(F1030="Supported",D1030&lt;&gt;"",E1030&lt;&gt;""))),"Yes","No"))</f>
        <v/>
      </c>
    </row>
    <row r="1031" spans="11:11">
      <c r="K1031" s="11">
        <f>IF(OR(A1031="",C1031=""),"",IF(AND(COUNTIF(Responses!$A$6:$A$205,A1031)=1,B1031&lt;&gt;"",COUNTIFS($A$6:$A$2005,A1031,$B$6:$B$2005,B1031)=1,OR(F1031="Supported",F1031="Unsupported",F1031="Contradicted"),OR(G1031="Supported",G1031="Wrong citation",G1031="Missing citation"),OR(H1031="Yes",H1031="No"),I1031&lt;&gt;"",OR(F1031&lt;&gt;"Supported",E1031&lt;&gt;""),OR(G1031&lt;&gt;"Supported",AND(F1031="Supported",D1031&lt;&gt;"",E1031&lt;&gt;""))),"Yes","No"))</f>
        <v/>
      </c>
    </row>
    <row r="1032" spans="11:11">
      <c r="K1032" s="11">
        <f>IF(OR(A1032="",C1032=""),"",IF(AND(COUNTIF(Responses!$A$6:$A$205,A1032)=1,B1032&lt;&gt;"",COUNTIFS($A$6:$A$2005,A1032,$B$6:$B$2005,B1032)=1,OR(F1032="Supported",F1032="Unsupported",F1032="Contradicted"),OR(G1032="Supported",G1032="Wrong citation",G1032="Missing citation"),OR(H1032="Yes",H1032="No"),I1032&lt;&gt;"",OR(F1032&lt;&gt;"Supported",E1032&lt;&gt;""),OR(G1032&lt;&gt;"Supported",AND(F1032="Supported",D1032&lt;&gt;"",E1032&lt;&gt;""))),"Yes","No"))</f>
        <v/>
      </c>
    </row>
    <row r="1033" spans="11:11">
      <c r="K1033" s="11">
        <f>IF(OR(A1033="",C1033=""),"",IF(AND(COUNTIF(Responses!$A$6:$A$205,A1033)=1,B1033&lt;&gt;"",COUNTIFS($A$6:$A$2005,A1033,$B$6:$B$2005,B1033)=1,OR(F1033="Supported",F1033="Unsupported",F1033="Contradicted"),OR(G1033="Supported",G1033="Wrong citation",G1033="Missing citation"),OR(H1033="Yes",H1033="No"),I1033&lt;&gt;"",OR(F1033&lt;&gt;"Supported",E1033&lt;&gt;""),OR(G1033&lt;&gt;"Supported",AND(F1033="Supported",D1033&lt;&gt;"",E1033&lt;&gt;""))),"Yes","No"))</f>
        <v/>
      </c>
    </row>
    <row r="1034" spans="11:11">
      <c r="K1034" s="11">
        <f>IF(OR(A1034="",C1034=""),"",IF(AND(COUNTIF(Responses!$A$6:$A$205,A1034)=1,B1034&lt;&gt;"",COUNTIFS($A$6:$A$2005,A1034,$B$6:$B$2005,B1034)=1,OR(F1034="Supported",F1034="Unsupported",F1034="Contradicted"),OR(G1034="Supported",G1034="Wrong citation",G1034="Missing citation"),OR(H1034="Yes",H1034="No"),I1034&lt;&gt;"",OR(F1034&lt;&gt;"Supported",E1034&lt;&gt;""),OR(G1034&lt;&gt;"Supported",AND(F1034="Supported",D1034&lt;&gt;"",E1034&lt;&gt;""))),"Yes","No"))</f>
        <v/>
      </c>
    </row>
    <row r="1035" spans="11:11">
      <c r="K1035" s="11">
        <f>IF(OR(A1035="",C1035=""),"",IF(AND(COUNTIF(Responses!$A$6:$A$205,A1035)=1,B1035&lt;&gt;"",COUNTIFS($A$6:$A$2005,A1035,$B$6:$B$2005,B1035)=1,OR(F1035="Supported",F1035="Unsupported",F1035="Contradicted"),OR(G1035="Supported",G1035="Wrong citation",G1035="Missing citation"),OR(H1035="Yes",H1035="No"),I1035&lt;&gt;"",OR(F1035&lt;&gt;"Supported",E1035&lt;&gt;""),OR(G1035&lt;&gt;"Supported",AND(F1035="Supported",D1035&lt;&gt;"",E1035&lt;&gt;""))),"Yes","No"))</f>
        <v/>
      </c>
    </row>
    <row r="1036" spans="11:11">
      <c r="K1036" s="11">
        <f>IF(OR(A1036="",C1036=""),"",IF(AND(COUNTIF(Responses!$A$6:$A$205,A1036)=1,B1036&lt;&gt;"",COUNTIFS($A$6:$A$2005,A1036,$B$6:$B$2005,B1036)=1,OR(F1036="Supported",F1036="Unsupported",F1036="Contradicted"),OR(G1036="Supported",G1036="Wrong citation",G1036="Missing citation"),OR(H1036="Yes",H1036="No"),I1036&lt;&gt;"",OR(F1036&lt;&gt;"Supported",E1036&lt;&gt;""),OR(G1036&lt;&gt;"Supported",AND(F1036="Supported",D1036&lt;&gt;"",E1036&lt;&gt;""))),"Yes","No"))</f>
        <v/>
      </c>
    </row>
    <row r="1037" spans="11:11">
      <c r="K1037" s="11">
        <f>IF(OR(A1037="",C1037=""),"",IF(AND(COUNTIF(Responses!$A$6:$A$205,A1037)=1,B1037&lt;&gt;"",COUNTIFS($A$6:$A$2005,A1037,$B$6:$B$2005,B1037)=1,OR(F1037="Supported",F1037="Unsupported",F1037="Contradicted"),OR(G1037="Supported",G1037="Wrong citation",G1037="Missing citation"),OR(H1037="Yes",H1037="No"),I1037&lt;&gt;"",OR(F1037&lt;&gt;"Supported",E1037&lt;&gt;""),OR(G1037&lt;&gt;"Supported",AND(F1037="Supported",D1037&lt;&gt;"",E1037&lt;&gt;""))),"Yes","No"))</f>
        <v/>
      </c>
    </row>
    <row r="1038" spans="11:11">
      <c r="K1038" s="11">
        <f>IF(OR(A1038="",C1038=""),"",IF(AND(COUNTIF(Responses!$A$6:$A$205,A1038)=1,B1038&lt;&gt;"",COUNTIFS($A$6:$A$2005,A1038,$B$6:$B$2005,B1038)=1,OR(F1038="Supported",F1038="Unsupported",F1038="Contradicted"),OR(G1038="Supported",G1038="Wrong citation",G1038="Missing citation"),OR(H1038="Yes",H1038="No"),I1038&lt;&gt;"",OR(F1038&lt;&gt;"Supported",E1038&lt;&gt;""),OR(G1038&lt;&gt;"Supported",AND(F1038="Supported",D1038&lt;&gt;"",E1038&lt;&gt;""))),"Yes","No"))</f>
        <v/>
      </c>
    </row>
    <row r="1039" spans="11:11">
      <c r="K1039" s="11">
        <f>IF(OR(A1039="",C1039=""),"",IF(AND(COUNTIF(Responses!$A$6:$A$205,A1039)=1,B1039&lt;&gt;"",COUNTIFS($A$6:$A$2005,A1039,$B$6:$B$2005,B1039)=1,OR(F1039="Supported",F1039="Unsupported",F1039="Contradicted"),OR(G1039="Supported",G1039="Wrong citation",G1039="Missing citation"),OR(H1039="Yes",H1039="No"),I1039&lt;&gt;"",OR(F1039&lt;&gt;"Supported",E1039&lt;&gt;""),OR(G1039&lt;&gt;"Supported",AND(F1039="Supported",D1039&lt;&gt;"",E1039&lt;&gt;""))),"Yes","No"))</f>
        <v/>
      </c>
    </row>
    <row r="1040" spans="11:11">
      <c r="K1040" s="11">
        <f>IF(OR(A1040="",C1040=""),"",IF(AND(COUNTIF(Responses!$A$6:$A$205,A1040)=1,B1040&lt;&gt;"",COUNTIFS($A$6:$A$2005,A1040,$B$6:$B$2005,B1040)=1,OR(F1040="Supported",F1040="Unsupported",F1040="Contradicted"),OR(G1040="Supported",G1040="Wrong citation",G1040="Missing citation"),OR(H1040="Yes",H1040="No"),I1040&lt;&gt;"",OR(F1040&lt;&gt;"Supported",E1040&lt;&gt;""),OR(G1040&lt;&gt;"Supported",AND(F1040="Supported",D1040&lt;&gt;"",E1040&lt;&gt;""))),"Yes","No"))</f>
        <v/>
      </c>
    </row>
    <row r="1041" spans="11:11">
      <c r="K1041" s="11">
        <f>IF(OR(A1041="",C1041=""),"",IF(AND(COUNTIF(Responses!$A$6:$A$205,A1041)=1,B1041&lt;&gt;"",COUNTIFS($A$6:$A$2005,A1041,$B$6:$B$2005,B1041)=1,OR(F1041="Supported",F1041="Unsupported",F1041="Contradicted"),OR(G1041="Supported",G1041="Wrong citation",G1041="Missing citation"),OR(H1041="Yes",H1041="No"),I1041&lt;&gt;"",OR(F1041&lt;&gt;"Supported",E1041&lt;&gt;""),OR(G1041&lt;&gt;"Supported",AND(F1041="Supported",D1041&lt;&gt;"",E1041&lt;&gt;""))),"Yes","No"))</f>
        <v/>
      </c>
    </row>
    <row r="1042" spans="11:11">
      <c r="K1042" s="11">
        <f>IF(OR(A1042="",C1042=""),"",IF(AND(COUNTIF(Responses!$A$6:$A$205,A1042)=1,B1042&lt;&gt;"",COUNTIFS($A$6:$A$2005,A1042,$B$6:$B$2005,B1042)=1,OR(F1042="Supported",F1042="Unsupported",F1042="Contradicted"),OR(G1042="Supported",G1042="Wrong citation",G1042="Missing citation"),OR(H1042="Yes",H1042="No"),I1042&lt;&gt;"",OR(F1042&lt;&gt;"Supported",E1042&lt;&gt;""),OR(G1042&lt;&gt;"Supported",AND(F1042="Supported",D1042&lt;&gt;"",E1042&lt;&gt;""))),"Yes","No"))</f>
        <v/>
      </c>
    </row>
    <row r="1043" spans="11:11">
      <c r="K1043" s="11">
        <f>IF(OR(A1043="",C1043=""),"",IF(AND(COUNTIF(Responses!$A$6:$A$205,A1043)=1,B1043&lt;&gt;"",COUNTIFS($A$6:$A$2005,A1043,$B$6:$B$2005,B1043)=1,OR(F1043="Supported",F1043="Unsupported",F1043="Contradicted"),OR(G1043="Supported",G1043="Wrong citation",G1043="Missing citation"),OR(H1043="Yes",H1043="No"),I1043&lt;&gt;"",OR(F1043&lt;&gt;"Supported",E1043&lt;&gt;""),OR(G1043&lt;&gt;"Supported",AND(F1043="Supported",D1043&lt;&gt;"",E1043&lt;&gt;""))),"Yes","No"))</f>
        <v/>
      </c>
    </row>
    <row r="1044" spans="11:11">
      <c r="K1044" s="11">
        <f>IF(OR(A1044="",C1044=""),"",IF(AND(COUNTIF(Responses!$A$6:$A$205,A1044)=1,B1044&lt;&gt;"",COUNTIFS($A$6:$A$2005,A1044,$B$6:$B$2005,B1044)=1,OR(F1044="Supported",F1044="Unsupported",F1044="Contradicted"),OR(G1044="Supported",G1044="Wrong citation",G1044="Missing citation"),OR(H1044="Yes",H1044="No"),I1044&lt;&gt;"",OR(F1044&lt;&gt;"Supported",E1044&lt;&gt;""),OR(G1044&lt;&gt;"Supported",AND(F1044="Supported",D1044&lt;&gt;"",E1044&lt;&gt;""))),"Yes","No"))</f>
        <v/>
      </c>
    </row>
    <row r="1045" spans="11:11">
      <c r="K1045" s="11">
        <f>IF(OR(A1045="",C1045=""),"",IF(AND(COUNTIF(Responses!$A$6:$A$205,A1045)=1,B1045&lt;&gt;"",COUNTIFS($A$6:$A$2005,A1045,$B$6:$B$2005,B1045)=1,OR(F1045="Supported",F1045="Unsupported",F1045="Contradicted"),OR(G1045="Supported",G1045="Wrong citation",G1045="Missing citation"),OR(H1045="Yes",H1045="No"),I1045&lt;&gt;"",OR(F1045&lt;&gt;"Supported",E1045&lt;&gt;""),OR(G1045&lt;&gt;"Supported",AND(F1045="Supported",D1045&lt;&gt;"",E1045&lt;&gt;""))),"Yes","No"))</f>
        <v/>
      </c>
    </row>
    <row r="1046" spans="11:11">
      <c r="K1046" s="11">
        <f>IF(OR(A1046="",C1046=""),"",IF(AND(COUNTIF(Responses!$A$6:$A$205,A1046)=1,B1046&lt;&gt;"",COUNTIFS($A$6:$A$2005,A1046,$B$6:$B$2005,B1046)=1,OR(F1046="Supported",F1046="Unsupported",F1046="Contradicted"),OR(G1046="Supported",G1046="Wrong citation",G1046="Missing citation"),OR(H1046="Yes",H1046="No"),I1046&lt;&gt;"",OR(F1046&lt;&gt;"Supported",E1046&lt;&gt;""),OR(G1046&lt;&gt;"Supported",AND(F1046="Supported",D1046&lt;&gt;"",E1046&lt;&gt;""))),"Yes","No"))</f>
        <v/>
      </c>
    </row>
    <row r="1047" spans="11:11">
      <c r="K1047" s="11">
        <f>IF(OR(A1047="",C1047=""),"",IF(AND(COUNTIF(Responses!$A$6:$A$205,A1047)=1,B1047&lt;&gt;"",COUNTIFS($A$6:$A$2005,A1047,$B$6:$B$2005,B1047)=1,OR(F1047="Supported",F1047="Unsupported",F1047="Contradicted"),OR(G1047="Supported",G1047="Wrong citation",G1047="Missing citation"),OR(H1047="Yes",H1047="No"),I1047&lt;&gt;"",OR(F1047&lt;&gt;"Supported",E1047&lt;&gt;""),OR(G1047&lt;&gt;"Supported",AND(F1047="Supported",D1047&lt;&gt;"",E1047&lt;&gt;""))),"Yes","No"))</f>
        <v/>
      </c>
    </row>
    <row r="1048" spans="11:11">
      <c r="K1048" s="11">
        <f>IF(OR(A1048="",C1048=""),"",IF(AND(COUNTIF(Responses!$A$6:$A$205,A1048)=1,B1048&lt;&gt;"",COUNTIFS($A$6:$A$2005,A1048,$B$6:$B$2005,B1048)=1,OR(F1048="Supported",F1048="Unsupported",F1048="Contradicted"),OR(G1048="Supported",G1048="Wrong citation",G1048="Missing citation"),OR(H1048="Yes",H1048="No"),I1048&lt;&gt;"",OR(F1048&lt;&gt;"Supported",E1048&lt;&gt;""),OR(G1048&lt;&gt;"Supported",AND(F1048="Supported",D1048&lt;&gt;"",E1048&lt;&gt;""))),"Yes","No"))</f>
        <v/>
      </c>
    </row>
    <row r="1049" spans="11:11">
      <c r="K1049" s="11">
        <f>IF(OR(A1049="",C1049=""),"",IF(AND(COUNTIF(Responses!$A$6:$A$205,A1049)=1,B1049&lt;&gt;"",COUNTIFS($A$6:$A$2005,A1049,$B$6:$B$2005,B1049)=1,OR(F1049="Supported",F1049="Unsupported",F1049="Contradicted"),OR(G1049="Supported",G1049="Wrong citation",G1049="Missing citation"),OR(H1049="Yes",H1049="No"),I1049&lt;&gt;"",OR(F1049&lt;&gt;"Supported",E1049&lt;&gt;""),OR(G1049&lt;&gt;"Supported",AND(F1049="Supported",D1049&lt;&gt;"",E1049&lt;&gt;""))),"Yes","No"))</f>
        <v/>
      </c>
    </row>
    <row r="1050" spans="11:11">
      <c r="K1050" s="11">
        <f>IF(OR(A1050="",C1050=""),"",IF(AND(COUNTIF(Responses!$A$6:$A$205,A1050)=1,B1050&lt;&gt;"",COUNTIFS($A$6:$A$2005,A1050,$B$6:$B$2005,B1050)=1,OR(F1050="Supported",F1050="Unsupported",F1050="Contradicted"),OR(G1050="Supported",G1050="Wrong citation",G1050="Missing citation"),OR(H1050="Yes",H1050="No"),I1050&lt;&gt;"",OR(F1050&lt;&gt;"Supported",E1050&lt;&gt;""),OR(G1050&lt;&gt;"Supported",AND(F1050="Supported",D1050&lt;&gt;"",E1050&lt;&gt;""))),"Yes","No"))</f>
        <v/>
      </c>
    </row>
    <row r="1051" spans="11:11">
      <c r="K1051" s="11">
        <f>IF(OR(A1051="",C1051=""),"",IF(AND(COUNTIF(Responses!$A$6:$A$205,A1051)=1,B1051&lt;&gt;"",COUNTIFS($A$6:$A$2005,A1051,$B$6:$B$2005,B1051)=1,OR(F1051="Supported",F1051="Unsupported",F1051="Contradicted"),OR(G1051="Supported",G1051="Wrong citation",G1051="Missing citation"),OR(H1051="Yes",H1051="No"),I1051&lt;&gt;"",OR(F1051&lt;&gt;"Supported",E1051&lt;&gt;""),OR(G1051&lt;&gt;"Supported",AND(F1051="Supported",D1051&lt;&gt;"",E1051&lt;&gt;""))),"Yes","No"))</f>
        <v/>
      </c>
    </row>
    <row r="1052" spans="11:11">
      <c r="K1052" s="11">
        <f>IF(OR(A1052="",C1052=""),"",IF(AND(COUNTIF(Responses!$A$6:$A$205,A1052)=1,B1052&lt;&gt;"",COUNTIFS($A$6:$A$2005,A1052,$B$6:$B$2005,B1052)=1,OR(F1052="Supported",F1052="Unsupported",F1052="Contradicted"),OR(G1052="Supported",G1052="Wrong citation",G1052="Missing citation"),OR(H1052="Yes",H1052="No"),I1052&lt;&gt;"",OR(F1052&lt;&gt;"Supported",E1052&lt;&gt;""),OR(G1052&lt;&gt;"Supported",AND(F1052="Supported",D1052&lt;&gt;"",E1052&lt;&gt;""))),"Yes","No"))</f>
        <v/>
      </c>
    </row>
    <row r="1053" spans="11:11">
      <c r="K1053" s="11">
        <f>IF(OR(A1053="",C1053=""),"",IF(AND(COUNTIF(Responses!$A$6:$A$205,A1053)=1,B1053&lt;&gt;"",COUNTIFS($A$6:$A$2005,A1053,$B$6:$B$2005,B1053)=1,OR(F1053="Supported",F1053="Unsupported",F1053="Contradicted"),OR(G1053="Supported",G1053="Wrong citation",G1053="Missing citation"),OR(H1053="Yes",H1053="No"),I1053&lt;&gt;"",OR(F1053&lt;&gt;"Supported",E1053&lt;&gt;""),OR(G1053&lt;&gt;"Supported",AND(F1053="Supported",D1053&lt;&gt;"",E1053&lt;&gt;""))),"Yes","No"))</f>
        <v/>
      </c>
    </row>
    <row r="1054" spans="11:11">
      <c r="K1054" s="11">
        <f>IF(OR(A1054="",C1054=""),"",IF(AND(COUNTIF(Responses!$A$6:$A$205,A1054)=1,B1054&lt;&gt;"",COUNTIFS($A$6:$A$2005,A1054,$B$6:$B$2005,B1054)=1,OR(F1054="Supported",F1054="Unsupported",F1054="Contradicted"),OR(G1054="Supported",G1054="Wrong citation",G1054="Missing citation"),OR(H1054="Yes",H1054="No"),I1054&lt;&gt;"",OR(F1054&lt;&gt;"Supported",E1054&lt;&gt;""),OR(G1054&lt;&gt;"Supported",AND(F1054="Supported",D1054&lt;&gt;"",E1054&lt;&gt;""))),"Yes","No"))</f>
        <v/>
      </c>
    </row>
    <row r="1055" spans="11:11">
      <c r="K1055" s="11">
        <f>IF(OR(A1055="",C1055=""),"",IF(AND(COUNTIF(Responses!$A$6:$A$205,A1055)=1,B1055&lt;&gt;"",COUNTIFS($A$6:$A$2005,A1055,$B$6:$B$2005,B1055)=1,OR(F1055="Supported",F1055="Unsupported",F1055="Contradicted"),OR(G1055="Supported",G1055="Wrong citation",G1055="Missing citation"),OR(H1055="Yes",H1055="No"),I1055&lt;&gt;"",OR(F1055&lt;&gt;"Supported",E1055&lt;&gt;""),OR(G1055&lt;&gt;"Supported",AND(F1055="Supported",D1055&lt;&gt;"",E1055&lt;&gt;""))),"Yes","No"))</f>
        <v/>
      </c>
    </row>
    <row r="1056" spans="11:11">
      <c r="K1056" s="11">
        <f>IF(OR(A1056="",C1056=""),"",IF(AND(COUNTIF(Responses!$A$6:$A$205,A1056)=1,B1056&lt;&gt;"",COUNTIFS($A$6:$A$2005,A1056,$B$6:$B$2005,B1056)=1,OR(F1056="Supported",F1056="Unsupported",F1056="Contradicted"),OR(G1056="Supported",G1056="Wrong citation",G1056="Missing citation"),OR(H1056="Yes",H1056="No"),I1056&lt;&gt;"",OR(F1056&lt;&gt;"Supported",E1056&lt;&gt;""),OR(G1056&lt;&gt;"Supported",AND(F1056="Supported",D1056&lt;&gt;"",E1056&lt;&gt;""))),"Yes","No"))</f>
        <v/>
      </c>
    </row>
    <row r="1057" spans="11:11">
      <c r="K1057" s="11">
        <f>IF(OR(A1057="",C1057=""),"",IF(AND(COUNTIF(Responses!$A$6:$A$205,A1057)=1,B1057&lt;&gt;"",COUNTIFS($A$6:$A$2005,A1057,$B$6:$B$2005,B1057)=1,OR(F1057="Supported",F1057="Unsupported",F1057="Contradicted"),OR(G1057="Supported",G1057="Wrong citation",G1057="Missing citation"),OR(H1057="Yes",H1057="No"),I1057&lt;&gt;"",OR(F1057&lt;&gt;"Supported",E1057&lt;&gt;""),OR(G1057&lt;&gt;"Supported",AND(F1057="Supported",D1057&lt;&gt;"",E1057&lt;&gt;""))),"Yes","No"))</f>
        <v/>
      </c>
    </row>
    <row r="1058" spans="11:11">
      <c r="K1058" s="11">
        <f>IF(OR(A1058="",C1058=""),"",IF(AND(COUNTIF(Responses!$A$6:$A$205,A1058)=1,B1058&lt;&gt;"",COUNTIFS($A$6:$A$2005,A1058,$B$6:$B$2005,B1058)=1,OR(F1058="Supported",F1058="Unsupported",F1058="Contradicted"),OR(G1058="Supported",G1058="Wrong citation",G1058="Missing citation"),OR(H1058="Yes",H1058="No"),I1058&lt;&gt;"",OR(F1058&lt;&gt;"Supported",E1058&lt;&gt;""),OR(G1058&lt;&gt;"Supported",AND(F1058="Supported",D1058&lt;&gt;"",E1058&lt;&gt;""))),"Yes","No"))</f>
        <v/>
      </c>
    </row>
    <row r="1059" spans="11:11">
      <c r="K1059" s="11">
        <f>IF(OR(A1059="",C1059=""),"",IF(AND(COUNTIF(Responses!$A$6:$A$205,A1059)=1,B1059&lt;&gt;"",COUNTIFS($A$6:$A$2005,A1059,$B$6:$B$2005,B1059)=1,OR(F1059="Supported",F1059="Unsupported",F1059="Contradicted"),OR(G1059="Supported",G1059="Wrong citation",G1059="Missing citation"),OR(H1059="Yes",H1059="No"),I1059&lt;&gt;"",OR(F1059&lt;&gt;"Supported",E1059&lt;&gt;""),OR(G1059&lt;&gt;"Supported",AND(F1059="Supported",D1059&lt;&gt;"",E1059&lt;&gt;""))),"Yes","No"))</f>
        <v/>
      </c>
    </row>
    <row r="1060" spans="11:11">
      <c r="K1060" s="11">
        <f>IF(OR(A1060="",C1060=""),"",IF(AND(COUNTIF(Responses!$A$6:$A$205,A1060)=1,B1060&lt;&gt;"",COUNTIFS($A$6:$A$2005,A1060,$B$6:$B$2005,B1060)=1,OR(F1060="Supported",F1060="Unsupported",F1060="Contradicted"),OR(G1060="Supported",G1060="Wrong citation",G1060="Missing citation"),OR(H1060="Yes",H1060="No"),I1060&lt;&gt;"",OR(F1060&lt;&gt;"Supported",E1060&lt;&gt;""),OR(G1060&lt;&gt;"Supported",AND(F1060="Supported",D1060&lt;&gt;"",E1060&lt;&gt;""))),"Yes","No"))</f>
        <v/>
      </c>
    </row>
    <row r="1061" spans="11:11">
      <c r="K1061" s="11">
        <f>IF(OR(A1061="",C1061=""),"",IF(AND(COUNTIF(Responses!$A$6:$A$205,A1061)=1,B1061&lt;&gt;"",COUNTIFS($A$6:$A$2005,A1061,$B$6:$B$2005,B1061)=1,OR(F1061="Supported",F1061="Unsupported",F1061="Contradicted"),OR(G1061="Supported",G1061="Wrong citation",G1061="Missing citation"),OR(H1061="Yes",H1061="No"),I1061&lt;&gt;"",OR(F1061&lt;&gt;"Supported",E1061&lt;&gt;""),OR(G1061&lt;&gt;"Supported",AND(F1061="Supported",D1061&lt;&gt;"",E1061&lt;&gt;""))),"Yes","No"))</f>
        <v/>
      </c>
    </row>
    <row r="1062" spans="11:11">
      <c r="K1062" s="11">
        <f>IF(OR(A1062="",C1062=""),"",IF(AND(COUNTIF(Responses!$A$6:$A$205,A1062)=1,B1062&lt;&gt;"",COUNTIFS($A$6:$A$2005,A1062,$B$6:$B$2005,B1062)=1,OR(F1062="Supported",F1062="Unsupported",F1062="Contradicted"),OR(G1062="Supported",G1062="Wrong citation",G1062="Missing citation"),OR(H1062="Yes",H1062="No"),I1062&lt;&gt;"",OR(F1062&lt;&gt;"Supported",E1062&lt;&gt;""),OR(G1062&lt;&gt;"Supported",AND(F1062="Supported",D1062&lt;&gt;"",E1062&lt;&gt;""))),"Yes","No"))</f>
        <v/>
      </c>
    </row>
    <row r="1063" spans="11:11">
      <c r="K1063" s="11">
        <f>IF(OR(A1063="",C1063=""),"",IF(AND(COUNTIF(Responses!$A$6:$A$205,A1063)=1,B1063&lt;&gt;"",COUNTIFS($A$6:$A$2005,A1063,$B$6:$B$2005,B1063)=1,OR(F1063="Supported",F1063="Unsupported",F1063="Contradicted"),OR(G1063="Supported",G1063="Wrong citation",G1063="Missing citation"),OR(H1063="Yes",H1063="No"),I1063&lt;&gt;"",OR(F1063&lt;&gt;"Supported",E1063&lt;&gt;""),OR(G1063&lt;&gt;"Supported",AND(F1063="Supported",D1063&lt;&gt;"",E1063&lt;&gt;""))),"Yes","No"))</f>
        <v/>
      </c>
    </row>
    <row r="1064" spans="11:11">
      <c r="K1064" s="11">
        <f>IF(OR(A1064="",C1064=""),"",IF(AND(COUNTIF(Responses!$A$6:$A$205,A1064)=1,B1064&lt;&gt;"",COUNTIFS($A$6:$A$2005,A1064,$B$6:$B$2005,B1064)=1,OR(F1064="Supported",F1064="Unsupported",F1064="Contradicted"),OR(G1064="Supported",G1064="Wrong citation",G1064="Missing citation"),OR(H1064="Yes",H1064="No"),I1064&lt;&gt;"",OR(F1064&lt;&gt;"Supported",E1064&lt;&gt;""),OR(G1064&lt;&gt;"Supported",AND(F1064="Supported",D1064&lt;&gt;"",E1064&lt;&gt;""))),"Yes","No"))</f>
        <v/>
      </c>
    </row>
    <row r="1065" spans="11:11">
      <c r="K1065" s="11">
        <f>IF(OR(A1065="",C1065=""),"",IF(AND(COUNTIF(Responses!$A$6:$A$205,A1065)=1,B1065&lt;&gt;"",COUNTIFS($A$6:$A$2005,A1065,$B$6:$B$2005,B1065)=1,OR(F1065="Supported",F1065="Unsupported",F1065="Contradicted"),OR(G1065="Supported",G1065="Wrong citation",G1065="Missing citation"),OR(H1065="Yes",H1065="No"),I1065&lt;&gt;"",OR(F1065&lt;&gt;"Supported",E1065&lt;&gt;""),OR(G1065&lt;&gt;"Supported",AND(F1065="Supported",D1065&lt;&gt;"",E1065&lt;&gt;""))),"Yes","No"))</f>
        <v/>
      </c>
    </row>
    <row r="1066" spans="11:11">
      <c r="K1066" s="11">
        <f>IF(OR(A1066="",C1066=""),"",IF(AND(COUNTIF(Responses!$A$6:$A$205,A1066)=1,B1066&lt;&gt;"",COUNTIFS($A$6:$A$2005,A1066,$B$6:$B$2005,B1066)=1,OR(F1066="Supported",F1066="Unsupported",F1066="Contradicted"),OR(G1066="Supported",G1066="Wrong citation",G1066="Missing citation"),OR(H1066="Yes",H1066="No"),I1066&lt;&gt;"",OR(F1066&lt;&gt;"Supported",E1066&lt;&gt;""),OR(G1066&lt;&gt;"Supported",AND(F1066="Supported",D1066&lt;&gt;"",E1066&lt;&gt;""))),"Yes","No"))</f>
        <v/>
      </c>
    </row>
    <row r="1067" spans="11:11">
      <c r="K1067" s="11">
        <f>IF(OR(A1067="",C1067=""),"",IF(AND(COUNTIF(Responses!$A$6:$A$205,A1067)=1,B1067&lt;&gt;"",COUNTIFS($A$6:$A$2005,A1067,$B$6:$B$2005,B1067)=1,OR(F1067="Supported",F1067="Unsupported",F1067="Contradicted"),OR(G1067="Supported",G1067="Wrong citation",G1067="Missing citation"),OR(H1067="Yes",H1067="No"),I1067&lt;&gt;"",OR(F1067&lt;&gt;"Supported",E1067&lt;&gt;""),OR(G1067&lt;&gt;"Supported",AND(F1067="Supported",D1067&lt;&gt;"",E1067&lt;&gt;""))),"Yes","No"))</f>
        <v/>
      </c>
    </row>
    <row r="1068" spans="11:11">
      <c r="K1068" s="11">
        <f>IF(OR(A1068="",C1068=""),"",IF(AND(COUNTIF(Responses!$A$6:$A$205,A1068)=1,B1068&lt;&gt;"",COUNTIFS($A$6:$A$2005,A1068,$B$6:$B$2005,B1068)=1,OR(F1068="Supported",F1068="Unsupported",F1068="Contradicted"),OR(G1068="Supported",G1068="Wrong citation",G1068="Missing citation"),OR(H1068="Yes",H1068="No"),I1068&lt;&gt;"",OR(F1068&lt;&gt;"Supported",E1068&lt;&gt;""),OR(G1068&lt;&gt;"Supported",AND(F1068="Supported",D1068&lt;&gt;"",E1068&lt;&gt;""))),"Yes","No"))</f>
        <v/>
      </c>
    </row>
    <row r="1069" spans="11:11">
      <c r="K1069" s="11">
        <f>IF(OR(A1069="",C1069=""),"",IF(AND(COUNTIF(Responses!$A$6:$A$205,A1069)=1,B1069&lt;&gt;"",COUNTIFS($A$6:$A$2005,A1069,$B$6:$B$2005,B1069)=1,OR(F1069="Supported",F1069="Unsupported",F1069="Contradicted"),OR(G1069="Supported",G1069="Wrong citation",G1069="Missing citation"),OR(H1069="Yes",H1069="No"),I1069&lt;&gt;"",OR(F1069&lt;&gt;"Supported",E1069&lt;&gt;""),OR(G1069&lt;&gt;"Supported",AND(F1069="Supported",D1069&lt;&gt;"",E1069&lt;&gt;""))),"Yes","No"))</f>
        <v/>
      </c>
    </row>
    <row r="1070" spans="11:11">
      <c r="K1070" s="11">
        <f>IF(OR(A1070="",C1070=""),"",IF(AND(COUNTIF(Responses!$A$6:$A$205,A1070)=1,B1070&lt;&gt;"",COUNTIFS($A$6:$A$2005,A1070,$B$6:$B$2005,B1070)=1,OR(F1070="Supported",F1070="Unsupported",F1070="Contradicted"),OR(G1070="Supported",G1070="Wrong citation",G1070="Missing citation"),OR(H1070="Yes",H1070="No"),I1070&lt;&gt;"",OR(F1070&lt;&gt;"Supported",E1070&lt;&gt;""),OR(G1070&lt;&gt;"Supported",AND(F1070="Supported",D1070&lt;&gt;"",E1070&lt;&gt;""))),"Yes","No"))</f>
        <v/>
      </c>
    </row>
    <row r="1071" spans="11:11">
      <c r="K1071" s="11">
        <f>IF(OR(A1071="",C1071=""),"",IF(AND(COUNTIF(Responses!$A$6:$A$205,A1071)=1,B1071&lt;&gt;"",COUNTIFS($A$6:$A$2005,A1071,$B$6:$B$2005,B1071)=1,OR(F1071="Supported",F1071="Unsupported",F1071="Contradicted"),OR(G1071="Supported",G1071="Wrong citation",G1071="Missing citation"),OR(H1071="Yes",H1071="No"),I1071&lt;&gt;"",OR(F1071&lt;&gt;"Supported",E1071&lt;&gt;""),OR(G1071&lt;&gt;"Supported",AND(F1071="Supported",D1071&lt;&gt;"",E1071&lt;&gt;""))),"Yes","No"))</f>
        <v/>
      </c>
    </row>
    <row r="1072" spans="11:11">
      <c r="K1072" s="11">
        <f>IF(OR(A1072="",C1072=""),"",IF(AND(COUNTIF(Responses!$A$6:$A$205,A1072)=1,B1072&lt;&gt;"",COUNTIFS($A$6:$A$2005,A1072,$B$6:$B$2005,B1072)=1,OR(F1072="Supported",F1072="Unsupported",F1072="Contradicted"),OR(G1072="Supported",G1072="Wrong citation",G1072="Missing citation"),OR(H1072="Yes",H1072="No"),I1072&lt;&gt;"",OR(F1072&lt;&gt;"Supported",E1072&lt;&gt;""),OR(G1072&lt;&gt;"Supported",AND(F1072="Supported",D1072&lt;&gt;"",E1072&lt;&gt;""))),"Yes","No"))</f>
        <v/>
      </c>
    </row>
    <row r="1073" spans="11:11">
      <c r="K1073" s="11">
        <f>IF(OR(A1073="",C1073=""),"",IF(AND(COUNTIF(Responses!$A$6:$A$205,A1073)=1,B1073&lt;&gt;"",COUNTIFS($A$6:$A$2005,A1073,$B$6:$B$2005,B1073)=1,OR(F1073="Supported",F1073="Unsupported",F1073="Contradicted"),OR(G1073="Supported",G1073="Wrong citation",G1073="Missing citation"),OR(H1073="Yes",H1073="No"),I1073&lt;&gt;"",OR(F1073&lt;&gt;"Supported",E1073&lt;&gt;""),OR(G1073&lt;&gt;"Supported",AND(F1073="Supported",D1073&lt;&gt;"",E1073&lt;&gt;""))),"Yes","No"))</f>
        <v/>
      </c>
    </row>
    <row r="1074" spans="11:11">
      <c r="K1074" s="11">
        <f>IF(OR(A1074="",C1074=""),"",IF(AND(COUNTIF(Responses!$A$6:$A$205,A1074)=1,B1074&lt;&gt;"",COUNTIFS($A$6:$A$2005,A1074,$B$6:$B$2005,B1074)=1,OR(F1074="Supported",F1074="Unsupported",F1074="Contradicted"),OR(G1074="Supported",G1074="Wrong citation",G1074="Missing citation"),OR(H1074="Yes",H1074="No"),I1074&lt;&gt;"",OR(F1074&lt;&gt;"Supported",E1074&lt;&gt;""),OR(G1074&lt;&gt;"Supported",AND(F1074="Supported",D1074&lt;&gt;"",E1074&lt;&gt;""))),"Yes","No"))</f>
        <v/>
      </c>
    </row>
    <row r="1075" spans="11:11">
      <c r="K1075" s="11">
        <f>IF(OR(A1075="",C1075=""),"",IF(AND(COUNTIF(Responses!$A$6:$A$205,A1075)=1,B1075&lt;&gt;"",COUNTIFS($A$6:$A$2005,A1075,$B$6:$B$2005,B1075)=1,OR(F1075="Supported",F1075="Unsupported",F1075="Contradicted"),OR(G1075="Supported",G1075="Wrong citation",G1075="Missing citation"),OR(H1075="Yes",H1075="No"),I1075&lt;&gt;"",OR(F1075&lt;&gt;"Supported",E1075&lt;&gt;""),OR(G1075&lt;&gt;"Supported",AND(F1075="Supported",D1075&lt;&gt;"",E1075&lt;&gt;""))),"Yes","No"))</f>
        <v/>
      </c>
    </row>
    <row r="1076" spans="11:11">
      <c r="K1076" s="11">
        <f>IF(OR(A1076="",C1076=""),"",IF(AND(COUNTIF(Responses!$A$6:$A$205,A1076)=1,B1076&lt;&gt;"",COUNTIFS($A$6:$A$2005,A1076,$B$6:$B$2005,B1076)=1,OR(F1076="Supported",F1076="Unsupported",F1076="Contradicted"),OR(G1076="Supported",G1076="Wrong citation",G1076="Missing citation"),OR(H1076="Yes",H1076="No"),I1076&lt;&gt;"",OR(F1076&lt;&gt;"Supported",E1076&lt;&gt;""),OR(G1076&lt;&gt;"Supported",AND(F1076="Supported",D1076&lt;&gt;"",E1076&lt;&gt;""))),"Yes","No"))</f>
        <v/>
      </c>
    </row>
    <row r="1077" spans="11:11">
      <c r="K1077" s="11">
        <f>IF(OR(A1077="",C1077=""),"",IF(AND(COUNTIF(Responses!$A$6:$A$205,A1077)=1,B1077&lt;&gt;"",COUNTIFS($A$6:$A$2005,A1077,$B$6:$B$2005,B1077)=1,OR(F1077="Supported",F1077="Unsupported",F1077="Contradicted"),OR(G1077="Supported",G1077="Wrong citation",G1077="Missing citation"),OR(H1077="Yes",H1077="No"),I1077&lt;&gt;"",OR(F1077&lt;&gt;"Supported",E1077&lt;&gt;""),OR(G1077&lt;&gt;"Supported",AND(F1077="Supported",D1077&lt;&gt;"",E1077&lt;&gt;""))),"Yes","No"))</f>
        <v/>
      </c>
    </row>
    <row r="1078" spans="11:11">
      <c r="K1078" s="11">
        <f>IF(OR(A1078="",C1078=""),"",IF(AND(COUNTIF(Responses!$A$6:$A$205,A1078)=1,B1078&lt;&gt;"",COUNTIFS($A$6:$A$2005,A1078,$B$6:$B$2005,B1078)=1,OR(F1078="Supported",F1078="Unsupported",F1078="Contradicted"),OR(G1078="Supported",G1078="Wrong citation",G1078="Missing citation"),OR(H1078="Yes",H1078="No"),I1078&lt;&gt;"",OR(F1078&lt;&gt;"Supported",E1078&lt;&gt;""),OR(G1078&lt;&gt;"Supported",AND(F1078="Supported",D1078&lt;&gt;"",E1078&lt;&gt;""))),"Yes","No"))</f>
        <v/>
      </c>
    </row>
    <row r="1079" spans="11:11">
      <c r="K1079" s="11">
        <f>IF(OR(A1079="",C1079=""),"",IF(AND(COUNTIF(Responses!$A$6:$A$205,A1079)=1,B1079&lt;&gt;"",COUNTIFS($A$6:$A$2005,A1079,$B$6:$B$2005,B1079)=1,OR(F1079="Supported",F1079="Unsupported",F1079="Contradicted"),OR(G1079="Supported",G1079="Wrong citation",G1079="Missing citation"),OR(H1079="Yes",H1079="No"),I1079&lt;&gt;"",OR(F1079&lt;&gt;"Supported",E1079&lt;&gt;""),OR(G1079&lt;&gt;"Supported",AND(F1079="Supported",D1079&lt;&gt;"",E1079&lt;&gt;""))),"Yes","No"))</f>
        <v/>
      </c>
    </row>
    <row r="1080" spans="11:11">
      <c r="K1080" s="11">
        <f>IF(OR(A1080="",C1080=""),"",IF(AND(COUNTIF(Responses!$A$6:$A$205,A1080)=1,B1080&lt;&gt;"",COUNTIFS($A$6:$A$2005,A1080,$B$6:$B$2005,B1080)=1,OR(F1080="Supported",F1080="Unsupported",F1080="Contradicted"),OR(G1080="Supported",G1080="Wrong citation",G1080="Missing citation"),OR(H1080="Yes",H1080="No"),I1080&lt;&gt;"",OR(F1080&lt;&gt;"Supported",E1080&lt;&gt;""),OR(G1080&lt;&gt;"Supported",AND(F1080="Supported",D1080&lt;&gt;"",E1080&lt;&gt;""))),"Yes","No"))</f>
        <v/>
      </c>
    </row>
    <row r="1081" spans="11:11">
      <c r="K1081" s="11">
        <f>IF(OR(A1081="",C1081=""),"",IF(AND(COUNTIF(Responses!$A$6:$A$205,A1081)=1,B1081&lt;&gt;"",COUNTIFS($A$6:$A$2005,A1081,$B$6:$B$2005,B1081)=1,OR(F1081="Supported",F1081="Unsupported",F1081="Contradicted"),OR(G1081="Supported",G1081="Wrong citation",G1081="Missing citation"),OR(H1081="Yes",H1081="No"),I1081&lt;&gt;"",OR(F1081&lt;&gt;"Supported",E1081&lt;&gt;""),OR(G1081&lt;&gt;"Supported",AND(F1081="Supported",D1081&lt;&gt;"",E1081&lt;&gt;""))),"Yes","No"))</f>
        <v/>
      </c>
    </row>
    <row r="1082" spans="11:11">
      <c r="K1082" s="11">
        <f>IF(OR(A1082="",C1082=""),"",IF(AND(COUNTIF(Responses!$A$6:$A$205,A1082)=1,B1082&lt;&gt;"",COUNTIFS($A$6:$A$2005,A1082,$B$6:$B$2005,B1082)=1,OR(F1082="Supported",F1082="Unsupported",F1082="Contradicted"),OR(G1082="Supported",G1082="Wrong citation",G1082="Missing citation"),OR(H1082="Yes",H1082="No"),I1082&lt;&gt;"",OR(F1082&lt;&gt;"Supported",E1082&lt;&gt;""),OR(G1082&lt;&gt;"Supported",AND(F1082="Supported",D1082&lt;&gt;"",E1082&lt;&gt;""))),"Yes","No"))</f>
        <v/>
      </c>
    </row>
    <row r="1083" spans="11:11">
      <c r="K1083" s="11">
        <f>IF(OR(A1083="",C1083=""),"",IF(AND(COUNTIF(Responses!$A$6:$A$205,A1083)=1,B1083&lt;&gt;"",COUNTIFS($A$6:$A$2005,A1083,$B$6:$B$2005,B1083)=1,OR(F1083="Supported",F1083="Unsupported",F1083="Contradicted"),OR(G1083="Supported",G1083="Wrong citation",G1083="Missing citation"),OR(H1083="Yes",H1083="No"),I1083&lt;&gt;"",OR(F1083&lt;&gt;"Supported",E1083&lt;&gt;""),OR(G1083&lt;&gt;"Supported",AND(F1083="Supported",D1083&lt;&gt;"",E1083&lt;&gt;""))),"Yes","No"))</f>
        <v/>
      </c>
    </row>
    <row r="1084" spans="11:11">
      <c r="K1084" s="11">
        <f>IF(OR(A1084="",C1084=""),"",IF(AND(COUNTIF(Responses!$A$6:$A$205,A1084)=1,B1084&lt;&gt;"",COUNTIFS($A$6:$A$2005,A1084,$B$6:$B$2005,B1084)=1,OR(F1084="Supported",F1084="Unsupported",F1084="Contradicted"),OR(G1084="Supported",G1084="Wrong citation",G1084="Missing citation"),OR(H1084="Yes",H1084="No"),I1084&lt;&gt;"",OR(F1084&lt;&gt;"Supported",E1084&lt;&gt;""),OR(G1084&lt;&gt;"Supported",AND(F1084="Supported",D1084&lt;&gt;"",E1084&lt;&gt;""))),"Yes","No"))</f>
        <v/>
      </c>
    </row>
    <row r="1085" spans="11:11">
      <c r="K1085" s="11">
        <f>IF(OR(A1085="",C1085=""),"",IF(AND(COUNTIF(Responses!$A$6:$A$205,A1085)=1,B1085&lt;&gt;"",COUNTIFS($A$6:$A$2005,A1085,$B$6:$B$2005,B1085)=1,OR(F1085="Supported",F1085="Unsupported",F1085="Contradicted"),OR(G1085="Supported",G1085="Wrong citation",G1085="Missing citation"),OR(H1085="Yes",H1085="No"),I1085&lt;&gt;"",OR(F1085&lt;&gt;"Supported",E1085&lt;&gt;""),OR(G1085&lt;&gt;"Supported",AND(F1085="Supported",D1085&lt;&gt;"",E1085&lt;&gt;""))),"Yes","No"))</f>
        <v/>
      </c>
    </row>
    <row r="1086" spans="11:11">
      <c r="K1086" s="11">
        <f>IF(OR(A1086="",C1086=""),"",IF(AND(COUNTIF(Responses!$A$6:$A$205,A1086)=1,B1086&lt;&gt;"",COUNTIFS($A$6:$A$2005,A1086,$B$6:$B$2005,B1086)=1,OR(F1086="Supported",F1086="Unsupported",F1086="Contradicted"),OR(G1086="Supported",G1086="Wrong citation",G1086="Missing citation"),OR(H1086="Yes",H1086="No"),I1086&lt;&gt;"",OR(F1086&lt;&gt;"Supported",E1086&lt;&gt;""),OR(G1086&lt;&gt;"Supported",AND(F1086="Supported",D1086&lt;&gt;"",E1086&lt;&gt;""))),"Yes","No"))</f>
        <v/>
      </c>
    </row>
    <row r="1087" spans="11:11">
      <c r="K1087" s="11">
        <f>IF(OR(A1087="",C1087=""),"",IF(AND(COUNTIF(Responses!$A$6:$A$205,A1087)=1,B1087&lt;&gt;"",COUNTIFS($A$6:$A$2005,A1087,$B$6:$B$2005,B1087)=1,OR(F1087="Supported",F1087="Unsupported",F1087="Contradicted"),OR(G1087="Supported",G1087="Wrong citation",G1087="Missing citation"),OR(H1087="Yes",H1087="No"),I1087&lt;&gt;"",OR(F1087&lt;&gt;"Supported",E1087&lt;&gt;""),OR(G1087&lt;&gt;"Supported",AND(F1087="Supported",D1087&lt;&gt;"",E1087&lt;&gt;""))),"Yes","No"))</f>
        <v/>
      </c>
    </row>
    <row r="1088" spans="11:11">
      <c r="K1088" s="11">
        <f>IF(OR(A1088="",C1088=""),"",IF(AND(COUNTIF(Responses!$A$6:$A$205,A1088)=1,B1088&lt;&gt;"",COUNTIFS($A$6:$A$2005,A1088,$B$6:$B$2005,B1088)=1,OR(F1088="Supported",F1088="Unsupported",F1088="Contradicted"),OR(G1088="Supported",G1088="Wrong citation",G1088="Missing citation"),OR(H1088="Yes",H1088="No"),I1088&lt;&gt;"",OR(F1088&lt;&gt;"Supported",E1088&lt;&gt;""),OR(G1088&lt;&gt;"Supported",AND(F1088="Supported",D1088&lt;&gt;"",E1088&lt;&gt;""))),"Yes","No"))</f>
        <v/>
      </c>
    </row>
    <row r="1089" spans="11:11">
      <c r="K1089" s="11">
        <f>IF(OR(A1089="",C1089=""),"",IF(AND(COUNTIF(Responses!$A$6:$A$205,A1089)=1,B1089&lt;&gt;"",COUNTIFS($A$6:$A$2005,A1089,$B$6:$B$2005,B1089)=1,OR(F1089="Supported",F1089="Unsupported",F1089="Contradicted"),OR(G1089="Supported",G1089="Wrong citation",G1089="Missing citation"),OR(H1089="Yes",H1089="No"),I1089&lt;&gt;"",OR(F1089&lt;&gt;"Supported",E1089&lt;&gt;""),OR(G1089&lt;&gt;"Supported",AND(F1089="Supported",D1089&lt;&gt;"",E1089&lt;&gt;""))),"Yes","No"))</f>
        <v/>
      </c>
    </row>
    <row r="1090" spans="11:11">
      <c r="K1090" s="11">
        <f>IF(OR(A1090="",C1090=""),"",IF(AND(COUNTIF(Responses!$A$6:$A$205,A1090)=1,B1090&lt;&gt;"",COUNTIFS($A$6:$A$2005,A1090,$B$6:$B$2005,B1090)=1,OR(F1090="Supported",F1090="Unsupported",F1090="Contradicted"),OR(G1090="Supported",G1090="Wrong citation",G1090="Missing citation"),OR(H1090="Yes",H1090="No"),I1090&lt;&gt;"",OR(F1090&lt;&gt;"Supported",E1090&lt;&gt;""),OR(G1090&lt;&gt;"Supported",AND(F1090="Supported",D1090&lt;&gt;"",E1090&lt;&gt;""))),"Yes","No"))</f>
        <v/>
      </c>
    </row>
    <row r="1091" spans="11:11">
      <c r="K1091" s="11">
        <f>IF(OR(A1091="",C1091=""),"",IF(AND(COUNTIF(Responses!$A$6:$A$205,A1091)=1,B1091&lt;&gt;"",COUNTIFS($A$6:$A$2005,A1091,$B$6:$B$2005,B1091)=1,OR(F1091="Supported",F1091="Unsupported",F1091="Contradicted"),OR(G1091="Supported",G1091="Wrong citation",G1091="Missing citation"),OR(H1091="Yes",H1091="No"),I1091&lt;&gt;"",OR(F1091&lt;&gt;"Supported",E1091&lt;&gt;""),OR(G1091&lt;&gt;"Supported",AND(F1091="Supported",D1091&lt;&gt;"",E1091&lt;&gt;""))),"Yes","No"))</f>
        <v/>
      </c>
    </row>
    <row r="1092" spans="11:11">
      <c r="K1092" s="11">
        <f>IF(OR(A1092="",C1092=""),"",IF(AND(COUNTIF(Responses!$A$6:$A$205,A1092)=1,B1092&lt;&gt;"",COUNTIFS($A$6:$A$2005,A1092,$B$6:$B$2005,B1092)=1,OR(F1092="Supported",F1092="Unsupported",F1092="Contradicted"),OR(G1092="Supported",G1092="Wrong citation",G1092="Missing citation"),OR(H1092="Yes",H1092="No"),I1092&lt;&gt;"",OR(F1092&lt;&gt;"Supported",E1092&lt;&gt;""),OR(G1092&lt;&gt;"Supported",AND(F1092="Supported",D1092&lt;&gt;"",E1092&lt;&gt;""))),"Yes","No"))</f>
        <v/>
      </c>
    </row>
    <row r="1093" spans="11:11">
      <c r="K1093" s="11">
        <f>IF(OR(A1093="",C1093=""),"",IF(AND(COUNTIF(Responses!$A$6:$A$205,A1093)=1,B1093&lt;&gt;"",COUNTIFS($A$6:$A$2005,A1093,$B$6:$B$2005,B1093)=1,OR(F1093="Supported",F1093="Unsupported",F1093="Contradicted"),OR(G1093="Supported",G1093="Wrong citation",G1093="Missing citation"),OR(H1093="Yes",H1093="No"),I1093&lt;&gt;"",OR(F1093&lt;&gt;"Supported",E1093&lt;&gt;""),OR(G1093&lt;&gt;"Supported",AND(F1093="Supported",D1093&lt;&gt;"",E1093&lt;&gt;""))),"Yes","No"))</f>
        <v/>
      </c>
    </row>
    <row r="1094" spans="11:11">
      <c r="K1094" s="11">
        <f>IF(OR(A1094="",C1094=""),"",IF(AND(COUNTIF(Responses!$A$6:$A$205,A1094)=1,B1094&lt;&gt;"",COUNTIFS($A$6:$A$2005,A1094,$B$6:$B$2005,B1094)=1,OR(F1094="Supported",F1094="Unsupported",F1094="Contradicted"),OR(G1094="Supported",G1094="Wrong citation",G1094="Missing citation"),OR(H1094="Yes",H1094="No"),I1094&lt;&gt;"",OR(F1094&lt;&gt;"Supported",E1094&lt;&gt;""),OR(G1094&lt;&gt;"Supported",AND(F1094="Supported",D1094&lt;&gt;"",E1094&lt;&gt;""))),"Yes","No"))</f>
        <v/>
      </c>
    </row>
    <row r="1095" spans="11:11">
      <c r="K1095" s="11">
        <f>IF(OR(A1095="",C1095=""),"",IF(AND(COUNTIF(Responses!$A$6:$A$205,A1095)=1,B1095&lt;&gt;"",COUNTIFS($A$6:$A$2005,A1095,$B$6:$B$2005,B1095)=1,OR(F1095="Supported",F1095="Unsupported",F1095="Contradicted"),OR(G1095="Supported",G1095="Wrong citation",G1095="Missing citation"),OR(H1095="Yes",H1095="No"),I1095&lt;&gt;"",OR(F1095&lt;&gt;"Supported",E1095&lt;&gt;""),OR(G1095&lt;&gt;"Supported",AND(F1095="Supported",D1095&lt;&gt;"",E1095&lt;&gt;""))),"Yes","No"))</f>
        <v/>
      </c>
    </row>
    <row r="1096" spans="11:11">
      <c r="K1096" s="11">
        <f>IF(OR(A1096="",C1096=""),"",IF(AND(COUNTIF(Responses!$A$6:$A$205,A1096)=1,B1096&lt;&gt;"",COUNTIFS($A$6:$A$2005,A1096,$B$6:$B$2005,B1096)=1,OR(F1096="Supported",F1096="Unsupported",F1096="Contradicted"),OR(G1096="Supported",G1096="Wrong citation",G1096="Missing citation"),OR(H1096="Yes",H1096="No"),I1096&lt;&gt;"",OR(F1096&lt;&gt;"Supported",E1096&lt;&gt;""),OR(G1096&lt;&gt;"Supported",AND(F1096="Supported",D1096&lt;&gt;"",E1096&lt;&gt;""))),"Yes","No"))</f>
        <v/>
      </c>
    </row>
    <row r="1097" spans="11:11">
      <c r="K1097" s="11">
        <f>IF(OR(A1097="",C1097=""),"",IF(AND(COUNTIF(Responses!$A$6:$A$205,A1097)=1,B1097&lt;&gt;"",COUNTIFS($A$6:$A$2005,A1097,$B$6:$B$2005,B1097)=1,OR(F1097="Supported",F1097="Unsupported",F1097="Contradicted"),OR(G1097="Supported",G1097="Wrong citation",G1097="Missing citation"),OR(H1097="Yes",H1097="No"),I1097&lt;&gt;"",OR(F1097&lt;&gt;"Supported",E1097&lt;&gt;""),OR(G1097&lt;&gt;"Supported",AND(F1097="Supported",D1097&lt;&gt;"",E1097&lt;&gt;""))),"Yes","No"))</f>
        <v/>
      </c>
    </row>
    <row r="1098" spans="11:11">
      <c r="K1098" s="11">
        <f>IF(OR(A1098="",C1098=""),"",IF(AND(COUNTIF(Responses!$A$6:$A$205,A1098)=1,B1098&lt;&gt;"",COUNTIFS($A$6:$A$2005,A1098,$B$6:$B$2005,B1098)=1,OR(F1098="Supported",F1098="Unsupported",F1098="Contradicted"),OR(G1098="Supported",G1098="Wrong citation",G1098="Missing citation"),OR(H1098="Yes",H1098="No"),I1098&lt;&gt;"",OR(F1098&lt;&gt;"Supported",E1098&lt;&gt;""),OR(G1098&lt;&gt;"Supported",AND(F1098="Supported",D1098&lt;&gt;"",E1098&lt;&gt;""))),"Yes","No"))</f>
        <v/>
      </c>
    </row>
    <row r="1099" spans="11:11">
      <c r="K1099" s="11">
        <f>IF(OR(A1099="",C1099=""),"",IF(AND(COUNTIF(Responses!$A$6:$A$205,A1099)=1,B1099&lt;&gt;"",COUNTIFS($A$6:$A$2005,A1099,$B$6:$B$2005,B1099)=1,OR(F1099="Supported",F1099="Unsupported",F1099="Contradicted"),OR(G1099="Supported",G1099="Wrong citation",G1099="Missing citation"),OR(H1099="Yes",H1099="No"),I1099&lt;&gt;"",OR(F1099&lt;&gt;"Supported",E1099&lt;&gt;""),OR(G1099&lt;&gt;"Supported",AND(F1099="Supported",D1099&lt;&gt;"",E1099&lt;&gt;""))),"Yes","No"))</f>
        <v/>
      </c>
    </row>
    <row r="1100" spans="11:11">
      <c r="K1100" s="11">
        <f>IF(OR(A1100="",C1100=""),"",IF(AND(COUNTIF(Responses!$A$6:$A$205,A1100)=1,B1100&lt;&gt;"",COUNTIFS($A$6:$A$2005,A1100,$B$6:$B$2005,B1100)=1,OR(F1100="Supported",F1100="Unsupported",F1100="Contradicted"),OR(G1100="Supported",G1100="Wrong citation",G1100="Missing citation"),OR(H1100="Yes",H1100="No"),I1100&lt;&gt;"",OR(F1100&lt;&gt;"Supported",E1100&lt;&gt;""),OR(G1100&lt;&gt;"Supported",AND(F1100="Supported",D1100&lt;&gt;"",E1100&lt;&gt;""))),"Yes","No"))</f>
        <v/>
      </c>
    </row>
    <row r="1101" spans="11:11">
      <c r="K1101" s="11">
        <f>IF(OR(A1101="",C1101=""),"",IF(AND(COUNTIF(Responses!$A$6:$A$205,A1101)=1,B1101&lt;&gt;"",COUNTIFS($A$6:$A$2005,A1101,$B$6:$B$2005,B1101)=1,OR(F1101="Supported",F1101="Unsupported",F1101="Contradicted"),OR(G1101="Supported",G1101="Wrong citation",G1101="Missing citation"),OR(H1101="Yes",H1101="No"),I1101&lt;&gt;"",OR(F1101&lt;&gt;"Supported",E1101&lt;&gt;""),OR(G1101&lt;&gt;"Supported",AND(F1101="Supported",D1101&lt;&gt;"",E1101&lt;&gt;""))),"Yes","No"))</f>
        <v/>
      </c>
    </row>
    <row r="1102" spans="11:11">
      <c r="K1102" s="11">
        <f>IF(OR(A1102="",C1102=""),"",IF(AND(COUNTIF(Responses!$A$6:$A$205,A1102)=1,B1102&lt;&gt;"",COUNTIFS($A$6:$A$2005,A1102,$B$6:$B$2005,B1102)=1,OR(F1102="Supported",F1102="Unsupported",F1102="Contradicted"),OR(G1102="Supported",G1102="Wrong citation",G1102="Missing citation"),OR(H1102="Yes",H1102="No"),I1102&lt;&gt;"",OR(F1102&lt;&gt;"Supported",E1102&lt;&gt;""),OR(G1102&lt;&gt;"Supported",AND(F1102="Supported",D1102&lt;&gt;"",E1102&lt;&gt;""))),"Yes","No"))</f>
        <v/>
      </c>
    </row>
    <row r="1103" spans="11:11">
      <c r="K1103" s="11">
        <f>IF(OR(A1103="",C1103=""),"",IF(AND(COUNTIF(Responses!$A$6:$A$205,A1103)=1,B1103&lt;&gt;"",COUNTIFS($A$6:$A$2005,A1103,$B$6:$B$2005,B1103)=1,OR(F1103="Supported",F1103="Unsupported",F1103="Contradicted"),OR(G1103="Supported",G1103="Wrong citation",G1103="Missing citation"),OR(H1103="Yes",H1103="No"),I1103&lt;&gt;"",OR(F1103&lt;&gt;"Supported",E1103&lt;&gt;""),OR(G1103&lt;&gt;"Supported",AND(F1103="Supported",D1103&lt;&gt;"",E1103&lt;&gt;""))),"Yes","No"))</f>
        <v/>
      </c>
    </row>
    <row r="1104" spans="11:11">
      <c r="K1104" s="11">
        <f>IF(OR(A1104="",C1104=""),"",IF(AND(COUNTIF(Responses!$A$6:$A$205,A1104)=1,B1104&lt;&gt;"",COUNTIFS($A$6:$A$2005,A1104,$B$6:$B$2005,B1104)=1,OR(F1104="Supported",F1104="Unsupported",F1104="Contradicted"),OR(G1104="Supported",G1104="Wrong citation",G1104="Missing citation"),OR(H1104="Yes",H1104="No"),I1104&lt;&gt;"",OR(F1104&lt;&gt;"Supported",E1104&lt;&gt;""),OR(G1104&lt;&gt;"Supported",AND(F1104="Supported",D1104&lt;&gt;"",E1104&lt;&gt;""))),"Yes","No"))</f>
        <v/>
      </c>
    </row>
    <row r="1105" spans="11:11">
      <c r="K1105" s="11">
        <f>IF(OR(A1105="",C1105=""),"",IF(AND(COUNTIF(Responses!$A$6:$A$205,A1105)=1,B1105&lt;&gt;"",COUNTIFS($A$6:$A$2005,A1105,$B$6:$B$2005,B1105)=1,OR(F1105="Supported",F1105="Unsupported",F1105="Contradicted"),OR(G1105="Supported",G1105="Wrong citation",G1105="Missing citation"),OR(H1105="Yes",H1105="No"),I1105&lt;&gt;"",OR(F1105&lt;&gt;"Supported",E1105&lt;&gt;""),OR(G1105&lt;&gt;"Supported",AND(F1105="Supported",D1105&lt;&gt;"",E1105&lt;&gt;""))),"Yes","No"))</f>
        <v/>
      </c>
    </row>
    <row r="1106" spans="11:11">
      <c r="K1106" s="11">
        <f>IF(OR(A1106="",C1106=""),"",IF(AND(COUNTIF(Responses!$A$6:$A$205,A1106)=1,B1106&lt;&gt;"",COUNTIFS($A$6:$A$2005,A1106,$B$6:$B$2005,B1106)=1,OR(F1106="Supported",F1106="Unsupported",F1106="Contradicted"),OR(G1106="Supported",G1106="Wrong citation",G1106="Missing citation"),OR(H1106="Yes",H1106="No"),I1106&lt;&gt;"",OR(F1106&lt;&gt;"Supported",E1106&lt;&gt;""),OR(G1106&lt;&gt;"Supported",AND(F1106="Supported",D1106&lt;&gt;"",E1106&lt;&gt;""))),"Yes","No"))</f>
        <v/>
      </c>
    </row>
    <row r="1107" spans="11:11">
      <c r="K1107" s="11">
        <f>IF(OR(A1107="",C1107=""),"",IF(AND(COUNTIF(Responses!$A$6:$A$205,A1107)=1,B1107&lt;&gt;"",COUNTIFS($A$6:$A$2005,A1107,$B$6:$B$2005,B1107)=1,OR(F1107="Supported",F1107="Unsupported",F1107="Contradicted"),OR(G1107="Supported",G1107="Wrong citation",G1107="Missing citation"),OR(H1107="Yes",H1107="No"),I1107&lt;&gt;"",OR(F1107&lt;&gt;"Supported",E1107&lt;&gt;""),OR(G1107&lt;&gt;"Supported",AND(F1107="Supported",D1107&lt;&gt;"",E1107&lt;&gt;""))),"Yes","No"))</f>
        <v/>
      </c>
    </row>
    <row r="1108" spans="11:11">
      <c r="K1108" s="11">
        <f>IF(OR(A1108="",C1108=""),"",IF(AND(COUNTIF(Responses!$A$6:$A$205,A1108)=1,B1108&lt;&gt;"",COUNTIFS($A$6:$A$2005,A1108,$B$6:$B$2005,B1108)=1,OR(F1108="Supported",F1108="Unsupported",F1108="Contradicted"),OR(G1108="Supported",G1108="Wrong citation",G1108="Missing citation"),OR(H1108="Yes",H1108="No"),I1108&lt;&gt;"",OR(F1108&lt;&gt;"Supported",E1108&lt;&gt;""),OR(G1108&lt;&gt;"Supported",AND(F1108="Supported",D1108&lt;&gt;"",E1108&lt;&gt;""))),"Yes","No"))</f>
        <v/>
      </c>
    </row>
    <row r="1109" spans="11:11">
      <c r="K1109" s="11">
        <f>IF(OR(A1109="",C1109=""),"",IF(AND(COUNTIF(Responses!$A$6:$A$205,A1109)=1,B1109&lt;&gt;"",COUNTIFS($A$6:$A$2005,A1109,$B$6:$B$2005,B1109)=1,OR(F1109="Supported",F1109="Unsupported",F1109="Contradicted"),OR(G1109="Supported",G1109="Wrong citation",G1109="Missing citation"),OR(H1109="Yes",H1109="No"),I1109&lt;&gt;"",OR(F1109&lt;&gt;"Supported",E1109&lt;&gt;""),OR(G1109&lt;&gt;"Supported",AND(F1109="Supported",D1109&lt;&gt;"",E1109&lt;&gt;""))),"Yes","No"))</f>
        <v/>
      </c>
    </row>
    <row r="1110" spans="11:11">
      <c r="K1110" s="11">
        <f>IF(OR(A1110="",C1110=""),"",IF(AND(COUNTIF(Responses!$A$6:$A$205,A1110)=1,B1110&lt;&gt;"",COUNTIFS($A$6:$A$2005,A1110,$B$6:$B$2005,B1110)=1,OR(F1110="Supported",F1110="Unsupported",F1110="Contradicted"),OR(G1110="Supported",G1110="Wrong citation",G1110="Missing citation"),OR(H1110="Yes",H1110="No"),I1110&lt;&gt;"",OR(F1110&lt;&gt;"Supported",E1110&lt;&gt;""),OR(G1110&lt;&gt;"Supported",AND(F1110="Supported",D1110&lt;&gt;"",E1110&lt;&gt;""))),"Yes","No"))</f>
        <v/>
      </c>
    </row>
    <row r="1111" spans="11:11">
      <c r="K1111" s="11">
        <f>IF(OR(A1111="",C1111=""),"",IF(AND(COUNTIF(Responses!$A$6:$A$205,A1111)=1,B1111&lt;&gt;"",COUNTIFS($A$6:$A$2005,A1111,$B$6:$B$2005,B1111)=1,OR(F1111="Supported",F1111="Unsupported",F1111="Contradicted"),OR(G1111="Supported",G1111="Wrong citation",G1111="Missing citation"),OR(H1111="Yes",H1111="No"),I1111&lt;&gt;"",OR(F1111&lt;&gt;"Supported",E1111&lt;&gt;""),OR(G1111&lt;&gt;"Supported",AND(F1111="Supported",D1111&lt;&gt;"",E1111&lt;&gt;""))),"Yes","No"))</f>
        <v/>
      </c>
    </row>
    <row r="1112" spans="11:11">
      <c r="K1112" s="11">
        <f>IF(OR(A1112="",C1112=""),"",IF(AND(COUNTIF(Responses!$A$6:$A$205,A1112)=1,B1112&lt;&gt;"",COUNTIFS($A$6:$A$2005,A1112,$B$6:$B$2005,B1112)=1,OR(F1112="Supported",F1112="Unsupported",F1112="Contradicted"),OR(G1112="Supported",G1112="Wrong citation",G1112="Missing citation"),OR(H1112="Yes",H1112="No"),I1112&lt;&gt;"",OR(F1112&lt;&gt;"Supported",E1112&lt;&gt;""),OR(G1112&lt;&gt;"Supported",AND(F1112="Supported",D1112&lt;&gt;"",E1112&lt;&gt;""))),"Yes","No"))</f>
        <v/>
      </c>
    </row>
    <row r="1113" spans="11:11">
      <c r="K1113" s="11">
        <f>IF(OR(A1113="",C1113=""),"",IF(AND(COUNTIF(Responses!$A$6:$A$205,A1113)=1,B1113&lt;&gt;"",COUNTIFS($A$6:$A$2005,A1113,$B$6:$B$2005,B1113)=1,OR(F1113="Supported",F1113="Unsupported",F1113="Contradicted"),OR(G1113="Supported",G1113="Wrong citation",G1113="Missing citation"),OR(H1113="Yes",H1113="No"),I1113&lt;&gt;"",OR(F1113&lt;&gt;"Supported",E1113&lt;&gt;""),OR(G1113&lt;&gt;"Supported",AND(F1113="Supported",D1113&lt;&gt;"",E1113&lt;&gt;""))),"Yes","No"))</f>
        <v/>
      </c>
    </row>
    <row r="1114" spans="11:11">
      <c r="K1114" s="11">
        <f>IF(OR(A1114="",C1114=""),"",IF(AND(COUNTIF(Responses!$A$6:$A$205,A1114)=1,B1114&lt;&gt;"",COUNTIFS($A$6:$A$2005,A1114,$B$6:$B$2005,B1114)=1,OR(F1114="Supported",F1114="Unsupported",F1114="Contradicted"),OR(G1114="Supported",G1114="Wrong citation",G1114="Missing citation"),OR(H1114="Yes",H1114="No"),I1114&lt;&gt;"",OR(F1114&lt;&gt;"Supported",E1114&lt;&gt;""),OR(G1114&lt;&gt;"Supported",AND(F1114="Supported",D1114&lt;&gt;"",E1114&lt;&gt;""))),"Yes","No"))</f>
        <v/>
      </c>
    </row>
    <row r="1115" spans="11:11">
      <c r="K1115" s="11">
        <f>IF(OR(A1115="",C1115=""),"",IF(AND(COUNTIF(Responses!$A$6:$A$205,A1115)=1,B1115&lt;&gt;"",COUNTIFS($A$6:$A$2005,A1115,$B$6:$B$2005,B1115)=1,OR(F1115="Supported",F1115="Unsupported",F1115="Contradicted"),OR(G1115="Supported",G1115="Wrong citation",G1115="Missing citation"),OR(H1115="Yes",H1115="No"),I1115&lt;&gt;"",OR(F1115&lt;&gt;"Supported",E1115&lt;&gt;""),OR(G1115&lt;&gt;"Supported",AND(F1115="Supported",D1115&lt;&gt;"",E1115&lt;&gt;""))),"Yes","No"))</f>
        <v/>
      </c>
    </row>
    <row r="1116" spans="11:11">
      <c r="K1116" s="11">
        <f>IF(OR(A1116="",C1116=""),"",IF(AND(COUNTIF(Responses!$A$6:$A$205,A1116)=1,B1116&lt;&gt;"",COUNTIFS($A$6:$A$2005,A1116,$B$6:$B$2005,B1116)=1,OR(F1116="Supported",F1116="Unsupported",F1116="Contradicted"),OR(G1116="Supported",G1116="Wrong citation",G1116="Missing citation"),OR(H1116="Yes",H1116="No"),I1116&lt;&gt;"",OR(F1116&lt;&gt;"Supported",E1116&lt;&gt;""),OR(G1116&lt;&gt;"Supported",AND(F1116="Supported",D1116&lt;&gt;"",E1116&lt;&gt;""))),"Yes","No"))</f>
        <v/>
      </c>
    </row>
    <row r="1117" spans="11:11">
      <c r="K1117" s="11">
        <f>IF(OR(A1117="",C1117=""),"",IF(AND(COUNTIF(Responses!$A$6:$A$205,A1117)=1,B1117&lt;&gt;"",COUNTIFS($A$6:$A$2005,A1117,$B$6:$B$2005,B1117)=1,OR(F1117="Supported",F1117="Unsupported",F1117="Contradicted"),OR(G1117="Supported",G1117="Wrong citation",G1117="Missing citation"),OR(H1117="Yes",H1117="No"),I1117&lt;&gt;"",OR(F1117&lt;&gt;"Supported",E1117&lt;&gt;""),OR(G1117&lt;&gt;"Supported",AND(F1117="Supported",D1117&lt;&gt;"",E1117&lt;&gt;""))),"Yes","No"))</f>
        <v/>
      </c>
    </row>
    <row r="1118" spans="11:11">
      <c r="K1118" s="11">
        <f>IF(OR(A1118="",C1118=""),"",IF(AND(COUNTIF(Responses!$A$6:$A$205,A1118)=1,B1118&lt;&gt;"",COUNTIFS($A$6:$A$2005,A1118,$B$6:$B$2005,B1118)=1,OR(F1118="Supported",F1118="Unsupported",F1118="Contradicted"),OR(G1118="Supported",G1118="Wrong citation",G1118="Missing citation"),OR(H1118="Yes",H1118="No"),I1118&lt;&gt;"",OR(F1118&lt;&gt;"Supported",E1118&lt;&gt;""),OR(G1118&lt;&gt;"Supported",AND(F1118="Supported",D1118&lt;&gt;"",E1118&lt;&gt;""))),"Yes","No"))</f>
        <v/>
      </c>
    </row>
    <row r="1119" spans="11:11">
      <c r="K1119" s="11">
        <f>IF(OR(A1119="",C1119=""),"",IF(AND(COUNTIF(Responses!$A$6:$A$205,A1119)=1,B1119&lt;&gt;"",COUNTIFS($A$6:$A$2005,A1119,$B$6:$B$2005,B1119)=1,OR(F1119="Supported",F1119="Unsupported",F1119="Contradicted"),OR(G1119="Supported",G1119="Wrong citation",G1119="Missing citation"),OR(H1119="Yes",H1119="No"),I1119&lt;&gt;"",OR(F1119&lt;&gt;"Supported",E1119&lt;&gt;""),OR(G1119&lt;&gt;"Supported",AND(F1119="Supported",D1119&lt;&gt;"",E1119&lt;&gt;""))),"Yes","No"))</f>
        <v/>
      </c>
    </row>
    <row r="1120" spans="11:11">
      <c r="K1120" s="11">
        <f>IF(OR(A1120="",C1120=""),"",IF(AND(COUNTIF(Responses!$A$6:$A$205,A1120)=1,B1120&lt;&gt;"",COUNTIFS($A$6:$A$2005,A1120,$B$6:$B$2005,B1120)=1,OR(F1120="Supported",F1120="Unsupported",F1120="Contradicted"),OR(G1120="Supported",G1120="Wrong citation",G1120="Missing citation"),OR(H1120="Yes",H1120="No"),I1120&lt;&gt;"",OR(F1120&lt;&gt;"Supported",E1120&lt;&gt;""),OR(G1120&lt;&gt;"Supported",AND(F1120="Supported",D1120&lt;&gt;"",E1120&lt;&gt;""))),"Yes","No"))</f>
        <v/>
      </c>
    </row>
    <row r="1121" spans="11:11">
      <c r="K1121" s="11">
        <f>IF(OR(A1121="",C1121=""),"",IF(AND(COUNTIF(Responses!$A$6:$A$205,A1121)=1,B1121&lt;&gt;"",COUNTIFS($A$6:$A$2005,A1121,$B$6:$B$2005,B1121)=1,OR(F1121="Supported",F1121="Unsupported",F1121="Contradicted"),OR(G1121="Supported",G1121="Wrong citation",G1121="Missing citation"),OR(H1121="Yes",H1121="No"),I1121&lt;&gt;"",OR(F1121&lt;&gt;"Supported",E1121&lt;&gt;""),OR(G1121&lt;&gt;"Supported",AND(F1121="Supported",D1121&lt;&gt;"",E1121&lt;&gt;""))),"Yes","No"))</f>
        <v/>
      </c>
    </row>
    <row r="1122" spans="11:11">
      <c r="K1122" s="11">
        <f>IF(OR(A1122="",C1122=""),"",IF(AND(COUNTIF(Responses!$A$6:$A$205,A1122)=1,B1122&lt;&gt;"",COUNTIFS($A$6:$A$2005,A1122,$B$6:$B$2005,B1122)=1,OR(F1122="Supported",F1122="Unsupported",F1122="Contradicted"),OR(G1122="Supported",G1122="Wrong citation",G1122="Missing citation"),OR(H1122="Yes",H1122="No"),I1122&lt;&gt;"",OR(F1122&lt;&gt;"Supported",E1122&lt;&gt;""),OR(G1122&lt;&gt;"Supported",AND(F1122="Supported",D1122&lt;&gt;"",E1122&lt;&gt;""))),"Yes","No"))</f>
        <v/>
      </c>
    </row>
    <row r="1123" spans="11:11">
      <c r="K1123" s="11">
        <f>IF(OR(A1123="",C1123=""),"",IF(AND(COUNTIF(Responses!$A$6:$A$205,A1123)=1,B1123&lt;&gt;"",COUNTIFS($A$6:$A$2005,A1123,$B$6:$B$2005,B1123)=1,OR(F1123="Supported",F1123="Unsupported",F1123="Contradicted"),OR(G1123="Supported",G1123="Wrong citation",G1123="Missing citation"),OR(H1123="Yes",H1123="No"),I1123&lt;&gt;"",OR(F1123&lt;&gt;"Supported",E1123&lt;&gt;""),OR(G1123&lt;&gt;"Supported",AND(F1123="Supported",D1123&lt;&gt;"",E1123&lt;&gt;""))),"Yes","No"))</f>
        <v/>
      </c>
    </row>
    <row r="1124" spans="11:11">
      <c r="K1124" s="11">
        <f>IF(OR(A1124="",C1124=""),"",IF(AND(COUNTIF(Responses!$A$6:$A$205,A1124)=1,B1124&lt;&gt;"",COUNTIFS($A$6:$A$2005,A1124,$B$6:$B$2005,B1124)=1,OR(F1124="Supported",F1124="Unsupported",F1124="Contradicted"),OR(G1124="Supported",G1124="Wrong citation",G1124="Missing citation"),OR(H1124="Yes",H1124="No"),I1124&lt;&gt;"",OR(F1124&lt;&gt;"Supported",E1124&lt;&gt;""),OR(G1124&lt;&gt;"Supported",AND(F1124="Supported",D1124&lt;&gt;"",E1124&lt;&gt;""))),"Yes","No"))</f>
        <v/>
      </c>
    </row>
    <row r="1125" spans="11:11">
      <c r="K1125" s="11">
        <f>IF(OR(A1125="",C1125=""),"",IF(AND(COUNTIF(Responses!$A$6:$A$205,A1125)=1,B1125&lt;&gt;"",COUNTIFS($A$6:$A$2005,A1125,$B$6:$B$2005,B1125)=1,OR(F1125="Supported",F1125="Unsupported",F1125="Contradicted"),OR(G1125="Supported",G1125="Wrong citation",G1125="Missing citation"),OR(H1125="Yes",H1125="No"),I1125&lt;&gt;"",OR(F1125&lt;&gt;"Supported",E1125&lt;&gt;""),OR(G1125&lt;&gt;"Supported",AND(F1125="Supported",D1125&lt;&gt;"",E1125&lt;&gt;""))),"Yes","No"))</f>
        <v/>
      </c>
    </row>
    <row r="1126" spans="11:11">
      <c r="K1126" s="11">
        <f>IF(OR(A1126="",C1126=""),"",IF(AND(COUNTIF(Responses!$A$6:$A$205,A1126)=1,B1126&lt;&gt;"",COUNTIFS($A$6:$A$2005,A1126,$B$6:$B$2005,B1126)=1,OR(F1126="Supported",F1126="Unsupported",F1126="Contradicted"),OR(G1126="Supported",G1126="Wrong citation",G1126="Missing citation"),OR(H1126="Yes",H1126="No"),I1126&lt;&gt;"",OR(F1126&lt;&gt;"Supported",E1126&lt;&gt;""),OR(G1126&lt;&gt;"Supported",AND(F1126="Supported",D1126&lt;&gt;"",E1126&lt;&gt;""))),"Yes","No"))</f>
        <v/>
      </c>
    </row>
    <row r="1127" spans="11:11">
      <c r="K1127" s="11">
        <f>IF(OR(A1127="",C1127=""),"",IF(AND(COUNTIF(Responses!$A$6:$A$205,A1127)=1,B1127&lt;&gt;"",COUNTIFS($A$6:$A$2005,A1127,$B$6:$B$2005,B1127)=1,OR(F1127="Supported",F1127="Unsupported",F1127="Contradicted"),OR(G1127="Supported",G1127="Wrong citation",G1127="Missing citation"),OR(H1127="Yes",H1127="No"),I1127&lt;&gt;"",OR(F1127&lt;&gt;"Supported",E1127&lt;&gt;""),OR(G1127&lt;&gt;"Supported",AND(F1127="Supported",D1127&lt;&gt;"",E1127&lt;&gt;""))),"Yes","No"))</f>
        <v/>
      </c>
    </row>
    <row r="1128" spans="11:11">
      <c r="K1128" s="11">
        <f>IF(OR(A1128="",C1128=""),"",IF(AND(COUNTIF(Responses!$A$6:$A$205,A1128)=1,B1128&lt;&gt;"",COUNTIFS($A$6:$A$2005,A1128,$B$6:$B$2005,B1128)=1,OR(F1128="Supported",F1128="Unsupported",F1128="Contradicted"),OR(G1128="Supported",G1128="Wrong citation",G1128="Missing citation"),OR(H1128="Yes",H1128="No"),I1128&lt;&gt;"",OR(F1128&lt;&gt;"Supported",E1128&lt;&gt;""),OR(G1128&lt;&gt;"Supported",AND(F1128="Supported",D1128&lt;&gt;"",E1128&lt;&gt;""))),"Yes","No"))</f>
        <v/>
      </c>
    </row>
    <row r="1129" spans="11:11">
      <c r="K1129" s="11">
        <f>IF(OR(A1129="",C1129=""),"",IF(AND(COUNTIF(Responses!$A$6:$A$205,A1129)=1,B1129&lt;&gt;"",COUNTIFS($A$6:$A$2005,A1129,$B$6:$B$2005,B1129)=1,OR(F1129="Supported",F1129="Unsupported",F1129="Contradicted"),OR(G1129="Supported",G1129="Wrong citation",G1129="Missing citation"),OR(H1129="Yes",H1129="No"),I1129&lt;&gt;"",OR(F1129&lt;&gt;"Supported",E1129&lt;&gt;""),OR(G1129&lt;&gt;"Supported",AND(F1129="Supported",D1129&lt;&gt;"",E1129&lt;&gt;""))),"Yes","No"))</f>
        <v/>
      </c>
    </row>
    <row r="1130" spans="11:11">
      <c r="K1130" s="11">
        <f>IF(OR(A1130="",C1130=""),"",IF(AND(COUNTIF(Responses!$A$6:$A$205,A1130)=1,B1130&lt;&gt;"",COUNTIFS($A$6:$A$2005,A1130,$B$6:$B$2005,B1130)=1,OR(F1130="Supported",F1130="Unsupported",F1130="Contradicted"),OR(G1130="Supported",G1130="Wrong citation",G1130="Missing citation"),OR(H1130="Yes",H1130="No"),I1130&lt;&gt;"",OR(F1130&lt;&gt;"Supported",E1130&lt;&gt;""),OR(G1130&lt;&gt;"Supported",AND(F1130="Supported",D1130&lt;&gt;"",E1130&lt;&gt;""))),"Yes","No"))</f>
        <v/>
      </c>
    </row>
    <row r="1131" spans="11:11">
      <c r="K1131" s="11">
        <f>IF(OR(A1131="",C1131=""),"",IF(AND(COUNTIF(Responses!$A$6:$A$205,A1131)=1,B1131&lt;&gt;"",COUNTIFS($A$6:$A$2005,A1131,$B$6:$B$2005,B1131)=1,OR(F1131="Supported",F1131="Unsupported",F1131="Contradicted"),OR(G1131="Supported",G1131="Wrong citation",G1131="Missing citation"),OR(H1131="Yes",H1131="No"),I1131&lt;&gt;"",OR(F1131&lt;&gt;"Supported",E1131&lt;&gt;""),OR(G1131&lt;&gt;"Supported",AND(F1131="Supported",D1131&lt;&gt;"",E1131&lt;&gt;""))),"Yes","No"))</f>
        <v/>
      </c>
    </row>
    <row r="1132" spans="11:11">
      <c r="K1132" s="11">
        <f>IF(OR(A1132="",C1132=""),"",IF(AND(COUNTIF(Responses!$A$6:$A$205,A1132)=1,B1132&lt;&gt;"",COUNTIFS($A$6:$A$2005,A1132,$B$6:$B$2005,B1132)=1,OR(F1132="Supported",F1132="Unsupported",F1132="Contradicted"),OR(G1132="Supported",G1132="Wrong citation",G1132="Missing citation"),OR(H1132="Yes",H1132="No"),I1132&lt;&gt;"",OR(F1132&lt;&gt;"Supported",E1132&lt;&gt;""),OR(G1132&lt;&gt;"Supported",AND(F1132="Supported",D1132&lt;&gt;"",E1132&lt;&gt;""))),"Yes","No"))</f>
        <v/>
      </c>
    </row>
    <row r="1133" spans="11:11">
      <c r="K1133" s="11">
        <f>IF(OR(A1133="",C1133=""),"",IF(AND(COUNTIF(Responses!$A$6:$A$205,A1133)=1,B1133&lt;&gt;"",COUNTIFS($A$6:$A$2005,A1133,$B$6:$B$2005,B1133)=1,OR(F1133="Supported",F1133="Unsupported",F1133="Contradicted"),OR(G1133="Supported",G1133="Wrong citation",G1133="Missing citation"),OR(H1133="Yes",H1133="No"),I1133&lt;&gt;"",OR(F1133&lt;&gt;"Supported",E1133&lt;&gt;""),OR(G1133&lt;&gt;"Supported",AND(F1133="Supported",D1133&lt;&gt;"",E1133&lt;&gt;""))),"Yes","No"))</f>
        <v/>
      </c>
    </row>
    <row r="1134" spans="11:11">
      <c r="K1134" s="11">
        <f>IF(OR(A1134="",C1134=""),"",IF(AND(COUNTIF(Responses!$A$6:$A$205,A1134)=1,B1134&lt;&gt;"",COUNTIFS($A$6:$A$2005,A1134,$B$6:$B$2005,B1134)=1,OR(F1134="Supported",F1134="Unsupported",F1134="Contradicted"),OR(G1134="Supported",G1134="Wrong citation",G1134="Missing citation"),OR(H1134="Yes",H1134="No"),I1134&lt;&gt;"",OR(F1134&lt;&gt;"Supported",E1134&lt;&gt;""),OR(G1134&lt;&gt;"Supported",AND(F1134="Supported",D1134&lt;&gt;"",E1134&lt;&gt;""))),"Yes","No"))</f>
        <v/>
      </c>
    </row>
    <row r="1135" spans="11:11">
      <c r="K1135" s="11">
        <f>IF(OR(A1135="",C1135=""),"",IF(AND(COUNTIF(Responses!$A$6:$A$205,A1135)=1,B1135&lt;&gt;"",COUNTIFS($A$6:$A$2005,A1135,$B$6:$B$2005,B1135)=1,OR(F1135="Supported",F1135="Unsupported",F1135="Contradicted"),OR(G1135="Supported",G1135="Wrong citation",G1135="Missing citation"),OR(H1135="Yes",H1135="No"),I1135&lt;&gt;"",OR(F1135&lt;&gt;"Supported",E1135&lt;&gt;""),OR(G1135&lt;&gt;"Supported",AND(F1135="Supported",D1135&lt;&gt;"",E1135&lt;&gt;""))),"Yes","No"))</f>
        <v/>
      </c>
    </row>
    <row r="1136" spans="11:11">
      <c r="K1136" s="11">
        <f>IF(OR(A1136="",C1136=""),"",IF(AND(COUNTIF(Responses!$A$6:$A$205,A1136)=1,B1136&lt;&gt;"",COUNTIFS($A$6:$A$2005,A1136,$B$6:$B$2005,B1136)=1,OR(F1136="Supported",F1136="Unsupported",F1136="Contradicted"),OR(G1136="Supported",G1136="Wrong citation",G1136="Missing citation"),OR(H1136="Yes",H1136="No"),I1136&lt;&gt;"",OR(F1136&lt;&gt;"Supported",E1136&lt;&gt;""),OR(G1136&lt;&gt;"Supported",AND(F1136="Supported",D1136&lt;&gt;"",E1136&lt;&gt;""))),"Yes","No"))</f>
        <v/>
      </c>
    </row>
    <row r="1137" spans="11:11">
      <c r="K1137" s="11">
        <f>IF(OR(A1137="",C1137=""),"",IF(AND(COUNTIF(Responses!$A$6:$A$205,A1137)=1,B1137&lt;&gt;"",COUNTIFS($A$6:$A$2005,A1137,$B$6:$B$2005,B1137)=1,OR(F1137="Supported",F1137="Unsupported",F1137="Contradicted"),OR(G1137="Supported",G1137="Wrong citation",G1137="Missing citation"),OR(H1137="Yes",H1137="No"),I1137&lt;&gt;"",OR(F1137&lt;&gt;"Supported",E1137&lt;&gt;""),OR(G1137&lt;&gt;"Supported",AND(F1137="Supported",D1137&lt;&gt;"",E1137&lt;&gt;""))),"Yes","No"))</f>
        <v/>
      </c>
    </row>
    <row r="1138" spans="11:11">
      <c r="K1138" s="11">
        <f>IF(OR(A1138="",C1138=""),"",IF(AND(COUNTIF(Responses!$A$6:$A$205,A1138)=1,B1138&lt;&gt;"",COUNTIFS($A$6:$A$2005,A1138,$B$6:$B$2005,B1138)=1,OR(F1138="Supported",F1138="Unsupported",F1138="Contradicted"),OR(G1138="Supported",G1138="Wrong citation",G1138="Missing citation"),OR(H1138="Yes",H1138="No"),I1138&lt;&gt;"",OR(F1138&lt;&gt;"Supported",E1138&lt;&gt;""),OR(G1138&lt;&gt;"Supported",AND(F1138="Supported",D1138&lt;&gt;"",E1138&lt;&gt;""))),"Yes","No"))</f>
        <v/>
      </c>
    </row>
    <row r="1139" spans="11:11">
      <c r="K1139" s="11">
        <f>IF(OR(A1139="",C1139=""),"",IF(AND(COUNTIF(Responses!$A$6:$A$205,A1139)=1,B1139&lt;&gt;"",COUNTIFS($A$6:$A$2005,A1139,$B$6:$B$2005,B1139)=1,OR(F1139="Supported",F1139="Unsupported",F1139="Contradicted"),OR(G1139="Supported",G1139="Wrong citation",G1139="Missing citation"),OR(H1139="Yes",H1139="No"),I1139&lt;&gt;"",OR(F1139&lt;&gt;"Supported",E1139&lt;&gt;""),OR(G1139&lt;&gt;"Supported",AND(F1139="Supported",D1139&lt;&gt;"",E1139&lt;&gt;""))),"Yes","No"))</f>
        <v/>
      </c>
    </row>
    <row r="1140" spans="11:11">
      <c r="K1140" s="11">
        <f>IF(OR(A1140="",C1140=""),"",IF(AND(COUNTIF(Responses!$A$6:$A$205,A1140)=1,B1140&lt;&gt;"",COUNTIFS($A$6:$A$2005,A1140,$B$6:$B$2005,B1140)=1,OR(F1140="Supported",F1140="Unsupported",F1140="Contradicted"),OR(G1140="Supported",G1140="Wrong citation",G1140="Missing citation"),OR(H1140="Yes",H1140="No"),I1140&lt;&gt;"",OR(F1140&lt;&gt;"Supported",E1140&lt;&gt;""),OR(G1140&lt;&gt;"Supported",AND(F1140="Supported",D1140&lt;&gt;"",E1140&lt;&gt;""))),"Yes","No"))</f>
        <v/>
      </c>
    </row>
    <row r="1141" spans="11:11">
      <c r="K1141" s="11">
        <f>IF(OR(A1141="",C1141=""),"",IF(AND(COUNTIF(Responses!$A$6:$A$205,A1141)=1,B1141&lt;&gt;"",COUNTIFS($A$6:$A$2005,A1141,$B$6:$B$2005,B1141)=1,OR(F1141="Supported",F1141="Unsupported",F1141="Contradicted"),OR(G1141="Supported",G1141="Wrong citation",G1141="Missing citation"),OR(H1141="Yes",H1141="No"),I1141&lt;&gt;"",OR(F1141&lt;&gt;"Supported",E1141&lt;&gt;""),OR(G1141&lt;&gt;"Supported",AND(F1141="Supported",D1141&lt;&gt;"",E1141&lt;&gt;""))),"Yes","No"))</f>
        <v/>
      </c>
    </row>
    <row r="1142" spans="11:11">
      <c r="K1142" s="11">
        <f>IF(OR(A1142="",C1142=""),"",IF(AND(COUNTIF(Responses!$A$6:$A$205,A1142)=1,B1142&lt;&gt;"",COUNTIFS($A$6:$A$2005,A1142,$B$6:$B$2005,B1142)=1,OR(F1142="Supported",F1142="Unsupported",F1142="Contradicted"),OR(G1142="Supported",G1142="Wrong citation",G1142="Missing citation"),OR(H1142="Yes",H1142="No"),I1142&lt;&gt;"",OR(F1142&lt;&gt;"Supported",E1142&lt;&gt;""),OR(G1142&lt;&gt;"Supported",AND(F1142="Supported",D1142&lt;&gt;"",E1142&lt;&gt;""))),"Yes","No"))</f>
        <v/>
      </c>
    </row>
    <row r="1143" spans="11:11">
      <c r="K1143" s="11">
        <f>IF(OR(A1143="",C1143=""),"",IF(AND(COUNTIF(Responses!$A$6:$A$205,A1143)=1,B1143&lt;&gt;"",COUNTIFS($A$6:$A$2005,A1143,$B$6:$B$2005,B1143)=1,OR(F1143="Supported",F1143="Unsupported",F1143="Contradicted"),OR(G1143="Supported",G1143="Wrong citation",G1143="Missing citation"),OR(H1143="Yes",H1143="No"),I1143&lt;&gt;"",OR(F1143&lt;&gt;"Supported",E1143&lt;&gt;""),OR(G1143&lt;&gt;"Supported",AND(F1143="Supported",D1143&lt;&gt;"",E1143&lt;&gt;""))),"Yes","No"))</f>
        <v/>
      </c>
    </row>
    <row r="1144" spans="11:11">
      <c r="K1144" s="11">
        <f>IF(OR(A1144="",C1144=""),"",IF(AND(COUNTIF(Responses!$A$6:$A$205,A1144)=1,B1144&lt;&gt;"",COUNTIFS($A$6:$A$2005,A1144,$B$6:$B$2005,B1144)=1,OR(F1144="Supported",F1144="Unsupported",F1144="Contradicted"),OR(G1144="Supported",G1144="Wrong citation",G1144="Missing citation"),OR(H1144="Yes",H1144="No"),I1144&lt;&gt;"",OR(F1144&lt;&gt;"Supported",E1144&lt;&gt;""),OR(G1144&lt;&gt;"Supported",AND(F1144="Supported",D1144&lt;&gt;"",E1144&lt;&gt;""))),"Yes","No"))</f>
        <v/>
      </c>
    </row>
    <row r="1145" spans="11:11">
      <c r="K1145" s="11">
        <f>IF(OR(A1145="",C1145=""),"",IF(AND(COUNTIF(Responses!$A$6:$A$205,A1145)=1,B1145&lt;&gt;"",COUNTIFS($A$6:$A$2005,A1145,$B$6:$B$2005,B1145)=1,OR(F1145="Supported",F1145="Unsupported",F1145="Contradicted"),OR(G1145="Supported",G1145="Wrong citation",G1145="Missing citation"),OR(H1145="Yes",H1145="No"),I1145&lt;&gt;"",OR(F1145&lt;&gt;"Supported",E1145&lt;&gt;""),OR(G1145&lt;&gt;"Supported",AND(F1145="Supported",D1145&lt;&gt;"",E1145&lt;&gt;""))),"Yes","No"))</f>
        <v/>
      </c>
    </row>
    <row r="1146" spans="11:11">
      <c r="K1146" s="11">
        <f>IF(OR(A1146="",C1146=""),"",IF(AND(COUNTIF(Responses!$A$6:$A$205,A1146)=1,B1146&lt;&gt;"",COUNTIFS($A$6:$A$2005,A1146,$B$6:$B$2005,B1146)=1,OR(F1146="Supported",F1146="Unsupported",F1146="Contradicted"),OR(G1146="Supported",G1146="Wrong citation",G1146="Missing citation"),OR(H1146="Yes",H1146="No"),I1146&lt;&gt;"",OR(F1146&lt;&gt;"Supported",E1146&lt;&gt;""),OR(G1146&lt;&gt;"Supported",AND(F1146="Supported",D1146&lt;&gt;"",E1146&lt;&gt;""))),"Yes","No"))</f>
        <v/>
      </c>
    </row>
    <row r="1147" spans="11:11">
      <c r="K1147" s="11">
        <f>IF(OR(A1147="",C1147=""),"",IF(AND(COUNTIF(Responses!$A$6:$A$205,A1147)=1,B1147&lt;&gt;"",COUNTIFS($A$6:$A$2005,A1147,$B$6:$B$2005,B1147)=1,OR(F1147="Supported",F1147="Unsupported",F1147="Contradicted"),OR(G1147="Supported",G1147="Wrong citation",G1147="Missing citation"),OR(H1147="Yes",H1147="No"),I1147&lt;&gt;"",OR(F1147&lt;&gt;"Supported",E1147&lt;&gt;""),OR(G1147&lt;&gt;"Supported",AND(F1147="Supported",D1147&lt;&gt;"",E1147&lt;&gt;""))),"Yes","No"))</f>
        <v/>
      </c>
    </row>
    <row r="1148" spans="11:11">
      <c r="K1148" s="11">
        <f>IF(OR(A1148="",C1148=""),"",IF(AND(COUNTIF(Responses!$A$6:$A$205,A1148)=1,B1148&lt;&gt;"",COUNTIFS($A$6:$A$2005,A1148,$B$6:$B$2005,B1148)=1,OR(F1148="Supported",F1148="Unsupported",F1148="Contradicted"),OR(G1148="Supported",G1148="Wrong citation",G1148="Missing citation"),OR(H1148="Yes",H1148="No"),I1148&lt;&gt;"",OR(F1148&lt;&gt;"Supported",E1148&lt;&gt;""),OR(G1148&lt;&gt;"Supported",AND(F1148="Supported",D1148&lt;&gt;"",E1148&lt;&gt;""))),"Yes","No"))</f>
        <v/>
      </c>
    </row>
    <row r="1149" spans="11:11">
      <c r="K1149" s="11">
        <f>IF(OR(A1149="",C1149=""),"",IF(AND(COUNTIF(Responses!$A$6:$A$205,A1149)=1,B1149&lt;&gt;"",COUNTIFS($A$6:$A$2005,A1149,$B$6:$B$2005,B1149)=1,OR(F1149="Supported",F1149="Unsupported",F1149="Contradicted"),OR(G1149="Supported",G1149="Wrong citation",G1149="Missing citation"),OR(H1149="Yes",H1149="No"),I1149&lt;&gt;"",OR(F1149&lt;&gt;"Supported",E1149&lt;&gt;""),OR(G1149&lt;&gt;"Supported",AND(F1149="Supported",D1149&lt;&gt;"",E1149&lt;&gt;""))),"Yes","No"))</f>
        <v/>
      </c>
    </row>
    <row r="1150" spans="11:11">
      <c r="K1150" s="11">
        <f>IF(OR(A1150="",C1150=""),"",IF(AND(COUNTIF(Responses!$A$6:$A$205,A1150)=1,B1150&lt;&gt;"",COUNTIFS($A$6:$A$2005,A1150,$B$6:$B$2005,B1150)=1,OR(F1150="Supported",F1150="Unsupported",F1150="Contradicted"),OR(G1150="Supported",G1150="Wrong citation",G1150="Missing citation"),OR(H1150="Yes",H1150="No"),I1150&lt;&gt;"",OR(F1150&lt;&gt;"Supported",E1150&lt;&gt;""),OR(G1150&lt;&gt;"Supported",AND(F1150="Supported",D1150&lt;&gt;"",E1150&lt;&gt;""))),"Yes","No"))</f>
        <v/>
      </c>
    </row>
    <row r="1151" spans="11:11">
      <c r="K1151" s="11">
        <f>IF(OR(A1151="",C1151=""),"",IF(AND(COUNTIF(Responses!$A$6:$A$205,A1151)=1,B1151&lt;&gt;"",COUNTIFS($A$6:$A$2005,A1151,$B$6:$B$2005,B1151)=1,OR(F1151="Supported",F1151="Unsupported",F1151="Contradicted"),OR(G1151="Supported",G1151="Wrong citation",G1151="Missing citation"),OR(H1151="Yes",H1151="No"),I1151&lt;&gt;"",OR(F1151&lt;&gt;"Supported",E1151&lt;&gt;""),OR(G1151&lt;&gt;"Supported",AND(F1151="Supported",D1151&lt;&gt;"",E1151&lt;&gt;""))),"Yes","No"))</f>
        <v/>
      </c>
    </row>
    <row r="1152" spans="11:11">
      <c r="K1152" s="11">
        <f>IF(OR(A1152="",C1152=""),"",IF(AND(COUNTIF(Responses!$A$6:$A$205,A1152)=1,B1152&lt;&gt;"",COUNTIFS($A$6:$A$2005,A1152,$B$6:$B$2005,B1152)=1,OR(F1152="Supported",F1152="Unsupported",F1152="Contradicted"),OR(G1152="Supported",G1152="Wrong citation",G1152="Missing citation"),OR(H1152="Yes",H1152="No"),I1152&lt;&gt;"",OR(F1152&lt;&gt;"Supported",E1152&lt;&gt;""),OR(G1152&lt;&gt;"Supported",AND(F1152="Supported",D1152&lt;&gt;"",E1152&lt;&gt;""))),"Yes","No"))</f>
        <v/>
      </c>
    </row>
    <row r="1153" spans="11:11">
      <c r="K1153" s="11">
        <f>IF(OR(A1153="",C1153=""),"",IF(AND(COUNTIF(Responses!$A$6:$A$205,A1153)=1,B1153&lt;&gt;"",COUNTIFS($A$6:$A$2005,A1153,$B$6:$B$2005,B1153)=1,OR(F1153="Supported",F1153="Unsupported",F1153="Contradicted"),OR(G1153="Supported",G1153="Wrong citation",G1153="Missing citation"),OR(H1153="Yes",H1153="No"),I1153&lt;&gt;"",OR(F1153&lt;&gt;"Supported",E1153&lt;&gt;""),OR(G1153&lt;&gt;"Supported",AND(F1153="Supported",D1153&lt;&gt;"",E1153&lt;&gt;""))),"Yes","No"))</f>
        <v/>
      </c>
    </row>
    <row r="1154" spans="11:11">
      <c r="K1154" s="11">
        <f>IF(OR(A1154="",C1154=""),"",IF(AND(COUNTIF(Responses!$A$6:$A$205,A1154)=1,B1154&lt;&gt;"",COUNTIFS($A$6:$A$2005,A1154,$B$6:$B$2005,B1154)=1,OR(F1154="Supported",F1154="Unsupported",F1154="Contradicted"),OR(G1154="Supported",G1154="Wrong citation",G1154="Missing citation"),OR(H1154="Yes",H1154="No"),I1154&lt;&gt;"",OR(F1154&lt;&gt;"Supported",E1154&lt;&gt;""),OR(G1154&lt;&gt;"Supported",AND(F1154="Supported",D1154&lt;&gt;"",E1154&lt;&gt;""))),"Yes","No"))</f>
        <v/>
      </c>
    </row>
    <row r="1155" spans="11:11">
      <c r="K1155" s="11">
        <f>IF(OR(A1155="",C1155=""),"",IF(AND(COUNTIF(Responses!$A$6:$A$205,A1155)=1,B1155&lt;&gt;"",COUNTIFS($A$6:$A$2005,A1155,$B$6:$B$2005,B1155)=1,OR(F1155="Supported",F1155="Unsupported",F1155="Contradicted"),OR(G1155="Supported",G1155="Wrong citation",G1155="Missing citation"),OR(H1155="Yes",H1155="No"),I1155&lt;&gt;"",OR(F1155&lt;&gt;"Supported",E1155&lt;&gt;""),OR(G1155&lt;&gt;"Supported",AND(F1155="Supported",D1155&lt;&gt;"",E1155&lt;&gt;""))),"Yes","No"))</f>
        <v/>
      </c>
    </row>
    <row r="1156" spans="11:11">
      <c r="K1156" s="11">
        <f>IF(OR(A1156="",C1156=""),"",IF(AND(COUNTIF(Responses!$A$6:$A$205,A1156)=1,B1156&lt;&gt;"",COUNTIFS($A$6:$A$2005,A1156,$B$6:$B$2005,B1156)=1,OR(F1156="Supported",F1156="Unsupported",F1156="Contradicted"),OR(G1156="Supported",G1156="Wrong citation",G1156="Missing citation"),OR(H1156="Yes",H1156="No"),I1156&lt;&gt;"",OR(F1156&lt;&gt;"Supported",E1156&lt;&gt;""),OR(G1156&lt;&gt;"Supported",AND(F1156="Supported",D1156&lt;&gt;"",E1156&lt;&gt;""))),"Yes","No"))</f>
        <v/>
      </c>
    </row>
    <row r="1157" spans="11:11">
      <c r="K1157" s="11">
        <f>IF(OR(A1157="",C1157=""),"",IF(AND(COUNTIF(Responses!$A$6:$A$205,A1157)=1,B1157&lt;&gt;"",COUNTIFS($A$6:$A$2005,A1157,$B$6:$B$2005,B1157)=1,OR(F1157="Supported",F1157="Unsupported",F1157="Contradicted"),OR(G1157="Supported",G1157="Wrong citation",G1157="Missing citation"),OR(H1157="Yes",H1157="No"),I1157&lt;&gt;"",OR(F1157&lt;&gt;"Supported",E1157&lt;&gt;""),OR(G1157&lt;&gt;"Supported",AND(F1157="Supported",D1157&lt;&gt;"",E1157&lt;&gt;""))),"Yes","No"))</f>
        <v/>
      </c>
    </row>
    <row r="1158" spans="11:11">
      <c r="K1158" s="11">
        <f>IF(OR(A1158="",C1158=""),"",IF(AND(COUNTIF(Responses!$A$6:$A$205,A1158)=1,B1158&lt;&gt;"",COUNTIFS($A$6:$A$2005,A1158,$B$6:$B$2005,B1158)=1,OR(F1158="Supported",F1158="Unsupported",F1158="Contradicted"),OR(G1158="Supported",G1158="Wrong citation",G1158="Missing citation"),OR(H1158="Yes",H1158="No"),I1158&lt;&gt;"",OR(F1158&lt;&gt;"Supported",E1158&lt;&gt;""),OR(G1158&lt;&gt;"Supported",AND(F1158="Supported",D1158&lt;&gt;"",E1158&lt;&gt;""))),"Yes","No"))</f>
        <v/>
      </c>
    </row>
    <row r="1159" spans="11:11">
      <c r="K1159" s="11">
        <f>IF(OR(A1159="",C1159=""),"",IF(AND(COUNTIF(Responses!$A$6:$A$205,A1159)=1,B1159&lt;&gt;"",COUNTIFS($A$6:$A$2005,A1159,$B$6:$B$2005,B1159)=1,OR(F1159="Supported",F1159="Unsupported",F1159="Contradicted"),OR(G1159="Supported",G1159="Wrong citation",G1159="Missing citation"),OR(H1159="Yes",H1159="No"),I1159&lt;&gt;"",OR(F1159&lt;&gt;"Supported",E1159&lt;&gt;""),OR(G1159&lt;&gt;"Supported",AND(F1159="Supported",D1159&lt;&gt;"",E1159&lt;&gt;""))),"Yes","No"))</f>
        <v/>
      </c>
    </row>
    <row r="1160" spans="11:11">
      <c r="K1160" s="11">
        <f>IF(OR(A1160="",C1160=""),"",IF(AND(COUNTIF(Responses!$A$6:$A$205,A1160)=1,B1160&lt;&gt;"",COUNTIFS($A$6:$A$2005,A1160,$B$6:$B$2005,B1160)=1,OR(F1160="Supported",F1160="Unsupported",F1160="Contradicted"),OR(G1160="Supported",G1160="Wrong citation",G1160="Missing citation"),OR(H1160="Yes",H1160="No"),I1160&lt;&gt;"",OR(F1160&lt;&gt;"Supported",E1160&lt;&gt;""),OR(G1160&lt;&gt;"Supported",AND(F1160="Supported",D1160&lt;&gt;"",E1160&lt;&gt;""))),"Yes","No"))</f>
        <v/>
      </c>
    </row>
    <row r="1161" spans="11:11">
      <c r="K1161" s="11">
        <f>IF(OR(A1161="",C1161=""),"",IF(AND(COUNTIF(Responses!$A$6:$A$205,A1161)=1,B1161&lt;&gt;"",COUNTIFS($A$6:$A$2005,A1161,$B$6:$B$2005,B1161)=1,OR(F1161="Supported",F1161="Unsupported",F1161="Contradicted"),OR(G1161="Supported",G1161="Wrong citation",G1161="Missing citation"),OR(H1161="Yes",H1161="No"),I1161&lt;&gt;"",OR(F1161&lt;&gt;"Supported",E1161&lt;&gt;""),OR(G1161&lt;&gt;"Supported",AND(F1161="Supported",D1161&lt;&gt;"",E1161&lt;&gt;""))),"Yes","No"))</f>
        <v/>
      </c>
    </row>
    <row r="1162" spans="11:11">
      <c r="K1162" s="11">
        <f>IF(OR(A1162="",C1162=""),"",IF(AND(COUNTIF(Responses!$A$6:$A$205,A1162)=1,B1162&lt;&gt;"",COUNTIFS($A$6:$A$2005,A1162,$B$6:$B$2005,B1162)=1,OR(F1162="Supported",F1162="Unsupported",F1162="Contradicted"),OR(G1162="Supported",G1162="Wrong citation",G1162="Missing citation"),OR(H1162="Yes",H1162="No"),I1162&lt;&gt;"",OR(F1162&lt;&gt;"Supported",E1162&lt;&gt;""),OR(G1162&lt;&gt;"Supported",AND(F1162="Supported",D1162&lt;&gt;"",E1162&lt;&gt;""))),"Yes","No"))</f>
        <v/>
      </c>
    </row>
    <row r="1163" spans="11:11">
      <c r="K1163" s="11">
        <f>IF(OR(A1163="",C1163=""),"",IF(AND(COUNTIF(Responses!$A$6:$A$205,A1163)=1,B1163&lt;&gt;"",COUNTIFS($A$6:$A$2005,A1163,$B$6:$B$2005,B1163)=1,OR(F1163="Supported",F1163="Unsupported",F1163="Contradicted"),OR(G1163="Supported",G1163="Wrong citation",G1163="Missing citation"),OR(H1163="Yes",H1163="No"),I1163&lt;&gt;"",OR(F1163&lt;&gt;"Supported",E1163&lt;&gt;""),OR(G1163&lt;&gt;"Supported",AND(F1163="Supported",D1163&lt;&gt;"",E1163&lt;&gt;""))),"Yes","No"))</f>
        <v/>
      </c>
    </row>
    <row r="1164" spans="11:11">
      <c r="K1164" s="11">
        <f>IF(OR(A1164="",C1164=""),"",IF(AND(COUNTIF(Responses!$A$6:$A$205,A1164)=1,B1164&lt;&gt;"",COUNTIFS($A$6:$A$2005,A1164,$B$6:$B$2005,B1164)=1,OR(F1164="Supported",F1164="Unsupported",F1164="Contradicted"),OR(G1164="Supported",G1164="Wrong citation",G1164="Missing citation"),OR(H1164="Yes",H1164="No"),I1164&lt;&gt;"",OR(F1164&lt;&gt;"Supported",E1164&lt;&gt;""),OR(G1164&lt;&gt;"Supported",AND(F1164="Supported",D1164&lt;&gt;"",E1164&lt;&gt;""))),"Yes","No"))</f>
        <v/>
      </c>
    </row>
    <row r="1165" spans="11:11">
      <c r="K1165" s="11">
        <f>IF(OR(A1165="",C1165=""),"",IF(AND(COUNTIF(Responses!$A$6:$A$205,A1165)=1,B1165&lt;&gt;"",COUNTIFS($A$6:$A$2005,A1165,$B$6:$B$2005,B1165)=1,OR(F1165="Supported",F1165="Unsupported",F1165="Contradicted"),OR(G1165="Supported",G1165="Wrong citation",G1165="Missing citation"),OR(H1165="Yes",H1165="No"),I1165&lt;&gt;"",OR(F1165&lt;&gt;"Supported",E1165&lt;&gt;""),OR(G1165&lt;&gt;"Supported",AND(F1165="Supported",D1165&lt;&gt;"",E1165&lt;&gt;""))),"Yes","No"))</f>
        <v/>
      </c>
    </row>
    <row r="1166" spans="11:11">
      <c r="K1166" s="11">
        <f>IF(OR(A1166="",C1166=""),"",IF(AND(COUNTIF(Responses!$A$6:$A$205,A1166)=1,B1166&lt;&gt;"",COUNTIFS($A$6:$A$2005,A1166,$B$6:$B$2005,B1166)=1,OR(F1166="Supported",F1166="Unsupported",F1166="Contradicted"),OR(G1166="Supported",G1166="Wrong citation",G1166="Missing citation"),OR(H1166="Yes",H1166="No"),I1166&lt;&gt;"",OR(F1166&lt;&gt;"Supported",E1166&lt;&gt;""),OR(G1166&lt;&gt;"Supported",AND(F1166="Supported",D1166&lt;&gt;"",E1166&lt;&gt;""))),"Yes","No"))</f>
        <v/>
      </c>
    </row>
    <row r="1167" spans="11:11">
      <c r="K1167" s="11">
        <f>IF(OR(A1167="",C1167=""),"",IF(AND(COUNTIF(Responses!$A$6:$A$205,A1167)=1,B1167&lt;&gt;"",COUNTIFS($A$6:$A$2005,A1167,$B$6:$B$2005,B1167)=1,OR(F1167="Supported",F1167="Unsupported",F1167="Contradicted"),OR(G1167="Supported",G1167="Wrong citation",G1167="Missing citation"),OR(H1167="Yes",H1167="No"),I1167&lt;&gt;"",OR(F1167&lt;&gt;"Supported",E1167&lt;&gt;""),OR(G1167&lt;&gt;"Supported",AND(F1167="Supported",D1167&lt;&gt;"",E1167&lt;&gt;""))),"Yes","No"))</f>
        <v/>
      </c>
    </row>
    <row r="1168" spans="11:11">
      <c r="K1168" s="11">
        <f>IF(OR(A1168="",C1168=""),"",IF(AND(COUNTIF(Responses!$A$6:$A$205,A1168)=1,B1168&lt;&gt;"",COUNTIFS($A$6:$A$2005,A1168,$B$6:$B$2005,B1168)=1,OR(F1168="Supported",F1168="Unsupported",F1168="Contradicted"),OR(G1168="Supported",G1168="Wrong citation",G1168="Missing citation"),OR(H1168="Yes",H1168="No"),I1168&lt;&gt;"",OR(F1168&lt;&gt;"Supported",E1168&lt;&gt;""),OR(G1168&lt;&gt;"Supported",AND(F1168="Supported",D1168&lt;&gt;"",E1168&lt;&gt;""))),"Yes","No"))</f>
        <v/>
      </c>
    </row>
    <row r="1169" spans="11:11">
      <c r="K1169" s="11">
        <f>IF(OR(A1169="",C1169=""),"",IF(AND(COUNTIF(Responses!$A$6:$A$205,A1169)=1,B1169&lt;&gt;"",COUNTIFS($A$6:$A$2005,A1169,$B$6:$B$2005,B1169)=1,OR(F1169="Supported",F1169="Unsupported",F1169="Contradicted"),OR(G1169="Supported",G1169="Wrong citation",G1169="Missing citation"),OR(H1169="Yes",H1169="No"),I1169&lt;&gt;"",OR(F1169&lt;&gt;"Supported",E1169&lt;&gt;""),OR(G1169&lt;&gt;"Supported",AND(F1169="Supported",D1169&lt;&gt;"",E1169&lt;&gt;""))),"Yes","No"))</f>
        <v/>
      </c>
    </row>
    <row r="1170" spans="11:11">
      <c r="K1170" s="11">
        <f>IF(OR(A1170="",C1170=""),"",IF(AND(COUNTIF(Responses!$A$6:$A$205,A1170)=1,B1170&lt;&gt;"",COUNTIFS($A$6:$A$2005,A1170,$B$6:$B$2005,B1170)=1,OR(F1170="Supported",F1170="Unsupported",F1170="Contradicted"),OR(G1170="Supported",G1170="Wrong citation",G1170="Missing citation"),OR(H1170="Yes",H1170="No"),I1170&lt;&gt;"",OR(F1170&lt;&gt;"Supported",E1170&lt;&gt;""),OR(G1170&lt;&gt;"Supported",AND(F1170="Supported",D1170&lt;&gt;"",E1170&lt;&gt;""))),"Yes","No"))</f>
        <v/>
      </c>
    </row>
    <row r="1171" spans="11:11">
      <c r="K1171" s="11">
        <f>IF(OR(A1171="",C1171=""),"",IF(AND(COUNTIF(Responses!$A$6:$A$205,A1171)=1,B1171&lt;&gt;"",COUNTIFS($A$6:$A$2005,A1171,$B$6:$B$2005,B1171)=1,OR(F1171="Supported",F1171="Unsupported",F1171="Contradicted"),OR(G1171="Supported",G1171="Wrong citation",G1171="Missing citation"),OR(H1171="Yes",H1171="No"),I1171&lt;&gt;"",OR(F1171&lt;&gt;"Supported",E1171&lt;&gt;""),OR(G1171&lt;&gt;"Supported",AND(F1171="Supported",D1171&lt;&gt;"",E1171&lt;&gt;""))),"Yes","No"))</f>
        <v/>
      </c>
    </row>
    <row r="1172" spans="11:11">
      <c r="K1172" s="11">
        <f>IF(OR(A1172="",C1172=""),"",IF(AND(COUNTIF(Responses!$A$6:$A$205,A1172)=1,B1172&lt;&gt;"",COUNTIFS($A$6:$A$2005,A1172,$B$6:$B$2005,B1172)=1,OR(F1172="Supported",F1172="Unsupported",F1172="Contradicted"),OR(G1172="Supported",G1172="Wrong citation",G1172="Missing citation"),OR(H1172="Yes",H1172="No"),I1172&lt;&gt;"",OR(F1172&lt;&gt;"Supported",E1172&lt;&gt;""),OR(G1172&lt;&gt;"Supported",AND(F1172="Supported",D1172&lt;&gt;"",E1172&lt;&gt;""))),"Yes","No"))</f>
        <v/>
      </c>
    </row>
    <row r="1173" spans="11:11">
      <c r="K1173" s="11">
        <f>IF(OR(A1173="",C1173=""),"",IF(AND(COUNTIF(Responses!$A$6:$A$205,A1173)=1,B1173&lt;&gt;"",COUNTIFS($A$6:$A$2005,A1173,$B$6:$B$2005,B1173)=1,OR(F1173="Supported",F1173="Unsupported",F1173="Contradicted"),OR(G1173="Supported",G1173="Wrong citation",G1173="Missing citation"),OR(H1173="Yes",H1173="No"),I1173&lt;&gt;"",OR(F1173&lt;&gt;"Supported",E1173&lt;&gt;""),OR(G1173&lt;&gt;"Supported",AND(F1173="Supported",D1173&lt;&gt;"",E1173&lt;&gt;""))),"Yes","No"))</f>
        <v/>
      </c>
    </row>
    <row r="1174" spans="11:11">
      <c r="K1174" s="11">
        <f>IF(OR(A1174="",C1174=""),"",IF(AND(COUNTIF(Responses!$A$6:$A$205,A1174)=1,B1174&lt;&gt;"",COUNTIFS($A$6:$A$2005,A1174,$B$6:$B$2005,B1174)=1,OR(F1174="Supported",F1174="Unsupported",F1174="Contradicted"),OR(G1174="Supported",G1174="Wrong citation",G1174="Missing citation"),OR(H1174="Yes",H1174="No"),I1174&lt;&gt;"",OR(F1174&lt;&gt;"Supported",E1174&lt;&gt;""),OR(G1174&lt;&gt;"Supported",AND(F1174="Supported",D1174&lt;&gt;"",E1174&lt;&gt;""))),"Yes","No"))</f>
        <v/>
      </c>
    </row>
    <row r="1175" spans="11:11">
      <c r="K1175" s="11">
        <f>IF(OR(A1175="",C1175=""),"",IF(AND(COUNTIF(Responses!$A$6:$A$205,A1175)=1,B1175&lt;&gt;"",COUNTIFS($A$6:$A$2005,A1175,$B$6:$B$2005,B1175)=1,OR(F1175="Supported",F1175="Unsupported",F1175="Contradicted"),OR(G1175="Supported",G1175="Wrong citation",G1175="Missing citation"),OR(H1175="Yes",H1175="No"),I1175&lt;&gt;"",OR(F1175&lt;&gt;"Supported",E1175&lt;&gt;""),OR(G1175&lt;&gt;"Supported",AND(F1175="Supported",D1175&lt;&gt;"",E1175&lt;&gt;""))),"Yes","No"))</f>
        <v/>
      </c>
    </row>
    <row r="1176" spans="11:11">
      <c r="K1176" s="11">
        <f>IF(OR(A1176="",C1176=""),"",IF(AND(COUNTIF(Responses!$A$6:$A$205,A1176)=1,B1176&lt;&gt;"",COUNTIFS($A$6:$A$2005,A1176,$B$6:$B$2005,B1176)=1,OR(F1176="Supported",F1176="Unsupported",F1176="Contradicted"),OR(G1176="Supported",G1176="Wrong citation",G1176="Missing citation"),OR(H1176="Yes",H1176="No"),I1176&lt;&gt;"",OR(F1176&lt;&gt;"Supported",E1176&lt;&gt;""),OR(G1176&lt;&gt;"Supported",AND(F1176="Supported",D1176&lt;&gt;"",E1176&lt;&gt;""))),"Yes","No"))</f>
        <v/>
      </c>
    </row>
    <row r="1177" spans="11:11">
      <c r="K1177" s="11">
        <f>IF(OR(A1177="",C1177=""),"",IF(AND(COUNTIF(Responses!$A$6:$A$205,A1177)=1,B1177&lt;&gt;"",COUNTIFS($A$6:$A$2005,A1177,$B$6:$B$2005,B1177)=1,OR(F1177="Supported",F1177="Unsupported",F1177="Contradicted"),OR(G1177="Supported",G1177="Wrong citation",G1177="Missing citation"),OR(H1177="Yes",H1177="No"),I1177&lt;&gt;"",OR(F1177&lt;&gt;"Supported",E1177&lt;&gt;""),OR(G1177&lt;&gt;"Supported",AND(F1177="Supported",D1177&lt;&gt;"",E1177&lt;&gt;""))),"Yes","No"))</f>
        <v/>
      </c>
    </row>
    <row r="1178" spans="11:11">
      <c r="K1178" s="11">
        <f>IF(OR(A1178="",C1178=""),"",IF(AND(COUNTIF(Responses!$A$6:$A$205,A1178)=1,B1178&lt;&gt;"",COUNTIFS($A$6:$A$2005,A1178,$B$6:$B$2005,B1178)=1,OR(F1178="Supported",F1178="Unsupported",F1178="Contradicted"),OR(G1178="Supported",G1178="Wrong citation",G1178="Missing citation"),OR(H1178="Yes",H1178="No"),I1178&lt;&gt;"",OR(F1178&lt;&gt;"Supported",E1178&lt;&gt;""),OR(G1178&lt;&gt;"Supported",AND(F1178="Supported",D1178&lt;&gt;"",E1178&lt;&gt;""))),"Yes","No"))</f>
        <v/>
      </c>
    </row>
    <row r="1179" spans="11:11">
      <c r="K1179" s="11">
        <f>IF(OR(A1179="",C1179=""),"",IF(AND(COUNTIF(Responses!$A$6:$A$205,A1179)=1,B1179&lt;&gt;"",COUNTIFS($A$6:$A$2005,A1179,$B$6:$B$2005,B1179)=1,OR(F1179="Supported",F1179="Unsupported",F1179="Contradicted"),OR(G1179="Supported",G1179="Wrong citation",G1179="Missing citation"),OR(H1179="Yes",H1179="No"),I1179&lt;&gt;"",OR(F1179&lt;&gt;"Supported",E1179&lt;&gt;""),OR(G1179&lt;&gt;"Supported",AND(F1179="Supported",D1179&lt;&gt;"",E1179&lt;&gt;""))),"Yes","No"))</f>
        <v/>
      </c>
    </row>
    <row r="1180" spans="11:11">
      <c r="K1180" s="11">
        <f>IF(OR(A1180="",C1180=""),"",IF(AND(COUNTIF(Responses!$A$6:$A$205,A1180)=1,B1180&lt;&gt;"",COUNTIFS($A$6:$A$2005,A1180,$B$6:$B$2005,B1180)=1,OR(F1180="Supported",F1180="Unsupported",F1180="Contradicted"),OR(G1180="Supported",G1180="Wrong citation",G1180="Missing citation"),OR(H1180="Yes",H1180="No"),I1180&lt;&gt;"",OR(F1180&lt;&gt;"Supported",E1180&lt;&gt;""),OR(G1180&lt;&gt;"Supported",AND(F1180="Supported",D1180&lt;&gt;"",E1180&lt;&gt;""))),"Yes","No"))</f>
        <v/>
      </c>
    </row>
    <row r="1181" spans="11:11">
      <c r="K1181" s="11">
        <f>IF(OR(A1181="",C1181=""),"",IF(AND(COUNTIF(Responses!$A$6:$A$205,A1181)=1,B1181&lt;&gt;"",COUNTIFS($A$6:$A$2005,A1181,$B$6:$B$2005,B1181)=1,OR(F1181="Supported",F1181="Unsupported",F1181="Contradicted"),OR(G1181="Supported",G1181="Wrong citation",G1181="Missing citation"),OR(H1181="Yes",H1181="No"),I1181&lt;&gt;"",OR(F1181&lt;&gt;"Supported",E1181&lt;&gt;""),OR(G1181&lt;&gt;"Supported",AND(F1181="Supported",D1181&lt;&gt;"",E1181&lt;&gt;""))),"Yes","No"))</f>
        <v/>
      </c>
    </row>
    <row r="1182" spans="11:11">
      <c r="K1182" s="11">
        <f>IF(OR(A1182="",C1182=""),"",IF(AND(COUNTIF(Responses!$A$6:$A$205,A1182)=1,B1182&lt;&gt;"",COUNTIFS($A$6:$A$2005,A1182,$B$6:$B$2005,B1182)=1,OR(F1182="Supported",F1182="Unsupported",F1182="Contradicted"),OR(G1182="Supported",G1182="Wrong citation",G1182="Missing citation"),OR(H1182="Yes",H1182="No"),I1182&lt;&gt;"",OR(F1182&lt;&gt;"Supported",E1182&lt;&gt;""),OR(G1182&lt;&gt;"Supported",AND(F1182="Supported",D1182&lt;&gt;"",E1182&lt;&gt;""))),"Yes","No"))</f>
        <v/>
      </c>
    </row>
    <row r="1183" spans="11:11">
      <c r="K1183" s="11">
        <f>IF(OR(A1183="",C1183=""),"",IF(AND(COUNTIF(Responses!$A$6:$A$205,A1183)=1,B1183&lt;&gt;"",COUNTIFS($A$6:$A$2005,A1183,$B$6:$B$2005,B1183)=1,OR(F1183="Supported",F1183="Unsupported",F1183="Contradicted"),OR(G1183="Supported",G1183="Wrong citation",G1183="Missing citation"),OR(H1183="Yes",H1183="No"),I1183&lt;&gt;"",OR(F1183&lt;&gt;"Supported",E1183&lt;&gt;""),OR(G1183&lt;&gt;"Supported",AND(F1183="Supported",D1183&lt;&gt;"",E1183&lt;&gt;""))),"Yes","No"))</f>
        <v/>
      </c>
    </row>
    <row r="1184" spans="11:11">
      <c r="K1184" s="11">
        <f>IF(OR(A1184="",C1184=""),"",IF(AND(COUNTIF(Responses!$A$6:$A$205,A1184)=1,B1184&lt;&gt;"",COUNTIFS($A$6:$A$2005,A1184,$B$6:$B$2005,B1184)=1,OR(F1184="Supported",F1184="Unsupported",F1184="Contradicted"),OR(G1184="Supported",G1184="Wrong citation",G1184="Missing citation"),OR(H1184="Yes",H1184="No"),I1184&lt;&gt;"",OR(F1184&lt;&gt;"Supported",E1184&lt;&gt;""),OR(G1184&lt;&gt;"Supported",AND(F1184="Supported",D1184&lt;&gt;"",E1184&lt;&gt;""))),"Yes","No"))</f>
        <v/>
      </c>
    </row>
    <row r="1185" spans="11:11">
      <c r="K1185" s="11">
        <f>IF(OR(A1185="",C1185=""),"",IF(AND(COUNTIF(Responses!$A$6:$A$205,A1185)=1,B1185&lt;&gt;"",COUNTIFS($A$6:$A$2005,A1185,$B$6:$B$2005,B1185)=1,OR(F1185="Supported",F1185="Unsupported",F1185="Contradicted"),OR(G1185="Supported",G1185="Wrong citation",G1185="Missing citation"),OR(H1185="Yes",H1185="No"),I1185&lt;&gt;"",OR(F1185&lt;&gt;"Supported",E1185&lt;&gt;""),OR(G1185&lt;&gt;"Supported",AND(F1185="Supported",D1185&lt;&gt;"",E1185&lt;&gt;""))),"Yes","No"))</f>
        <v/>
      </c>
    </row>
    <row r="1186" spans="11:11">
      <c r="K1186" s="11">
        <f>IF(OR(A1186="",C1186=""),"",IF(AND(COUNTIF(Responses!$A$6:$A$205,A1186)=1,B1186&lt;&gt;"",COUNTIFS($A$6:$A$2005,A1186,$B$6:$B$2005,B1186)=1,OR(F1186="Supported",F1186="Unsupported",F1186="Contradicted"),OR(G1186="Supported",G1186="Wrong citation",G1186="Missing citation"),OR(H1186="Yes",H1186="No"),I1186&lt;&gt;"",OR(F1186&lt;&gt;"Supported",E1186&lt;&gt;""),OR(G1186&lt;&gt;"Supported",AND(F1186="Supported",D1186&lt;&gt;"",E1186&lt;&gt;""))),"Yes","No"))</f>
        <v/>
      </c>
    </row>
    <row r="1187" spans="11:11">
      <c r="K1187" s="11">
        <f>IF(OR(A1187="",C1187=""),"",IF(AND(COUNTIF(Responses!$A$6:$A$205,A1187)=1,B1187&lt;&gt;"",COUNTIFS($A$6:$A$2005,A1187,$B$6:$B$2005,B1187)=1,OR(F1187="Supported",F1187="Unsupported",F1187="Contradicted"),OR(G1187="Supported",G1187="Wrong citation",G1187="Missing citation"),OR(H1187="Yes",H1187="No"),I1187&lt;&gt;"",OR(F1187&lt;&gt;"Supported",E1187&lt;&gt;""),OR(G1187&lt;&gt;"Supported",AND(F1187="Supported",D1187&lt;&gt;"",E1187&lt;&gt;""))),"Yes","No"))</f>
        <v/>
      </c>
    </row>
    <row r="1188" spans="11:11">
      <c r="K1188" s="11">
        <f>IF(OR(A1188="",C1188=""),"",IF(AND(COUNTIF(Responses!$A$6:$A$205,A1188)=1,B1188&lt;&gt;"",COUNTIFS($A$6:$A$2005,A1188,$B$6:$B$2005,B1188)=1,OR(F1188="Supported",F1188="Unsupported",F1188="Contradicted"),OR(G1188="Supported",G1188="Wrong citation",G1188="Missing citation"),OR(H1188="Yes",H1188="No"),I1188&lt;&gt;"",OR(F1188&lt;&gt;"Supported",E1188&lt;&gt;""),OR(G1188&lt;&gt;"Supported",AND(F1188="Supported",D1188&lt;&gt;"",E1188&lt;&gt;""))),"Yes","No"))</f>
        <v/>
      </c>
    </row>
    <row r="1189" spans="11:11">
      <c r="K1189" s="11">
        <f>IF(OR(A1189="",C1189=""),"",IF(AND(COUNTIF(Responses!$A$6:$A$205,A1189)=1,B1189&lt;&gt;"",COUNTIFS($A$6:$A$2005,A1189,$B$6:$B$2005,B1189)=1,OR(F1189="Supported",F1189="Unsupported",F1189="Contradicted"),OR(G1189="Supported",G1189="Wrong citation",G1189="Missing citation"),OR(H1189="Yes",H1189="No"),I1189&lt;&gt;"",OR(F1189&lt;&gt;"Supported",E1189&lt;&gt;""),OR(G1189&lt;&gt;"Supported",AND(F1189="Supported",D1189&lt;&gt;"",E1189&lt;&gt;""))),"Yes","No"))</f>
        <v/>
      </c>
    </row>
    <row r="1190" spans="11:11">
      <c r="K1190" s="11">
        <f>IF(OR(A1190="",C1190=""),"",IF(AND(COUNTIF(Responses!$A$6:$A$205,A1190)=1,B1190&lt;&gt;"",COUNTIFS($A$6:$A$2005,A1190,$B$6:$B$2005,B1190)=1,OR(F1190="Supported",F1190="Unsupported",F1190="Contradicted"),OR(G1190="Supported",G1190="Wrong citation",G1190="Missing citation"),OR(H1190="Yes",H1190="No"),I1190&lt;&gt;"",OR(F1190&lt;&gt;"Supported",E1190&lt;&gt;""),OR(G1190&lt;&gt;"Supported",AND(F1190="Supported",D1190&lt;&gt;"",E1190&lt;&gt;""))),"Yes","No"))</f>
        <v/>
      </c>
    </row>
    <row r="1191" spans="11:11">
      <c r="K1191" s="11">
        <f>IF(OR(A1191="",C1191=""),"",IF(AND(COUNTIF(Responses!$A$6:$A$205,A1191)=1,B1191&lt;&gt;"",COUNTIFS($A$6:$A$2005,A1191,$B$6:$B$2005,B1191)=1,OR(F1191="Supported",F1191="Unsupported",F1191="Contradicted"),OR(G1191="Supported",G1191="Wrong citation",G1191="Missing citation"),OR(H1191="Yes",H1191="No"),I1191&lt;&gt;"",OR(F1191&lt;&gt;"Supported",E1191&lt;&gt;""),OR(G1191&lt;&gt;"Supported",AND(F1191="Supported",D1191&lt;&gt;"",E1191&lt;&gt;""))),"Yes","No"))</f>
        <v/>
      </c>
    </row>
    <row r="1192" spans="11:11">
      <c r="K1192" s="11">
        <f>IF(OR(A1192="",C1192=""),"",IF(AND(COUNTIF(Responses!$A$6:$A$205,A1192)=1,B1192&lt;&gt;"",COUNTIFS($A$6:$A$2005,A1192,$B$6:$B$2005,B1192)=1,OR(F1192="Supported",F1192="Unsupported",F1192="Contradicted"),OR(G1192="Supported",G1192="Wrong citation",G1192="Missing citation"),OR(H1192="Yes",H1192="No"),I1192&lt;&gt;"",OR(F1192&lt;&gt;"Supported",E1192&lt;&gt;""),OR(G1192&lt;&gt;"Supported",AND(F1192="Supported",D1192&lt;&gt;"",E1192&lt;&gt;""))),"Yes","No"))</f>
        <v/>
      </c>
    </row>
    <row r="1193" spans="11:11">
      <c r="K1193" s="11">
        <f>IF(OR(A1193="",C1193=""),"",IF(AND(COUNTIF(Responses!$A$6:$A$205,A1193)=1,B1193&lt;&gt;"",COUNTIFS($A$6:$A$2005,A1193,$B$6:$B$2005,B1193)=1,OR(F1193="Supported",F1193="Unsupported",F1193="Contradicted"),OR(G1193="Supported",G1193="Wrong citation",G1193="Missing citation"),OR(H1193="Yes",H1193="No"),I1193&lt;&gt;"",OR(F1193&lt;&gt;"Supported",E1193&lt;&gt;""),OR(G1193&lt;&gt;"Supported",AND(F1193="Supported",D1193&lt;&gt;"",E1193&lt;&gt;""))),"Yes","No"))</f>
        <v/>
      </c>
    </row>
    <row r="1194" spans="11:11">
      <c r="K1194" s="11">
        <f>IF(OR(A1194="",C1194=""),"",IF(AND(COUNTIF(Responses!$A$6:$A$205,A1194)=1,B1194&lt;&gt;"",COUNTIFS($A$6:$A$2005,A1194,$B$6:$B$2005,B1194)=1,OR(F1194="Supported",F1194="Unsupported",F1194="Contradicted"),OR(G1194="Supported",G1194="Wrong citation",G1194="Missing citation"),OR(H1194="Yes",H1194="No"),I1194&lt;&gt;"",OR(F1194&lt;&gt;"Supported",E1194&lt;&gt;""),OR(G1194&lt;&gt;"Supported",AND(F1194="Supported",D1194&lt;&gt;"",E1194&lt;&gt;""))),"Yes","No"))</f>
        <v/>
      </c>
    </row>
    <row r="1195" spans="11:11">
      <c r="K1195" s="11">
        <f>IF(OR(A1195="",C1195=""),"",IF(AND(COUNTIF(Responses!$A$6:$A$205,A1195)=1,B1195&lt;&gt;"",COUNTIFS($A$6:$A$2005,A1195,$B$6:$B$2005,B1195)=1,OR(F1195="Supported",F1195="Unsupported",F1195="Contradicted"),OR(G1195="Supported",G1195="Wrong citation",G1195="Missing citation"),OR(H1195="Yes",H1195="No"),I1195&lt;&gt;"",OR(F1195&lt;&gt;"Supported",E1195&lt;&gt;""),OR(G1195&lt;&gt;"Supported",AND(F1195="Supported",D1195&lt;&gt;"",E1195&lt;&gt;""))),"Yes","No"))</f>
        <v/>
      </c>
    </row>
    <row r="1196" spans="11:11">
      <c r="K1196" s="11">
        <f>IF(OR(A1196="",C1196=""),"",IF(AND(COUNTIF(Responses!$A$6:$A$205,A1196)=1,B1196&lt;&gt;"",COUNTIFS($A$6:$A$2005,A1196,$B$6:$B$2005,B1196)=1,OR(F1196="Supported",F1196="Unsupported",F1196="Contradicted"),OR(G1196="Supported",G1196="Wrong citation",G1196="Missing citation"),OR(H1196="Yes",H1196="No"),I1196&lt;&gt;"",OR(F1196&lt;&gt;"Supported",E1196&lt;&gt;""),OR(G1196&lt;&gt;"Supported",AND(F1196="Supported",D1196&lt;&gt;"",E1196&lt;&gt;""))),"Yes","No"))</f>
        <v/>
      </c>
    </row>
    <row r="1197" spans="11:11">
      <c r="K1197" s="11">
        <f>IF(OR(A1197="",C1197=""),"",IF(AND(COUNTIF(Responses!$A$6:$A$205,A1197)=1,B1197&lt;&gt;"",COUNTIFS($A$6:$A$2005,A1197,$B$6:$B$2005,B1197)=1,OR(F1197="Supported",F1197="Unsupported",F1197="Contradicted"),OR(G1197="Supported",G1197="Wrong citation",G1197="Missing citation"),OR(H1197="Yes",H1197="No"),I1197&lt;&gt;"",OR(F1197&lt;&gt;"Supported",E1197&lt;&gt;""),OR(G1197&lt;&gt;"Supported",AND(F1197="Supported",D1197&lt;&gt;"",E1197&lt;&gt;""))),"Yes","No"))</f>
        <v/>
      </c>
    </row>
    <row r="1198" spans="11:11">
      <c r="K1198" s="11">
        <f>IF(OR(A1198="",C1198=""),"",IF(AND(COUNTIF(Responses!$A$6:$A$205,A1198)=1,B1198&lt;&gt;"",COUNTIFS($A$6:$A$2005,A1198,$B$6:$B$2005,B1198)=1,OR(F1198="Supported",F1198="Unsupported",F1198="Contradicted"),OR(G1198="Supported",G1198="Wrong citation",G1198="Missing citation"),OR(H1198="Yes",H1198="No"),I1198&lt;&gt;"",OR(F1198&lt;&gt;"Supported",E1198&lt;&gt;""),OR(G1198&lt;&gt;"Supported",AND(F1198="Supported",D1198&lt;&gt;"",E1198&lt;&gt;""))),"Yes","No"))</f>
        <v/>
      </c>
    </row>
    <row r="1199" spans="11:11">
      <c r="K1199" s="11">
        <f>IF(OR(A1199="",C1199=""),"",IF(AND(COUNTIF(Responses!$A$6:$A$205,A1199)=1,B1199&lt;&gt;"",COUNTIFS($A$6:$A$2005,A1199,$B$6:$B$2005,B1199)=1,OR(F1199="Supported",F1199="Unsupported",F1199="Contradicted"),OR(G1199="Supported",G1199="Wrong citation",G1199="Missing citation"),OR(H1199="Yes",H1199="No"),I1199&lt;&gt;"",OR(F1199&lt;&gt;"Supported",E1199&lt;&gt;""),OR(G1199&lt;&gt;"Supported",AND(F1199="Supported",D1199&lt;&gt;"",E1199&lt;&gt;""))),"Yes","No"))</f>
        <v/>
      </c>
    </row>
    <row r="1200" spans="11:11">
      <c r="K1200" s="11">
        <f>IF(OR(A1200="",C1200=""),"",IF(AND(COUNTIF(Responses!$A$6:$A$205,A1200)=1,B1200&lt;&gt;"",COUNTIFS($A$6:$A$2005,A1200,$B$6:$B$2005,B1200)=1,OR(F1200="Supported",F1200="Unsupported",F1200="Contradicted"),OR(G1200="Supported",G1200="Wrong citation",G1200="Missing citation"),OR(H1200="Yes",H1200="No"),I1200&lt;&gt;"",OR(F1200&lt;&gt;"Supported",E1200&lt;&gt;""),OR(G1200&lt;&gt;"Supported",AND(F1200="Supported",D1200&lt;&gt;"",E1200&lt;&gt;""))),"Yes","No"))</f>
        <v/>
      </c>
    </row>
    <row r="1201" spans="11:11">
      <c r="K1201" s="11">
        <f>IF(OR(A1201="",C1201=""),"",IF(AND(COUNTIF(Responses!$A$6:$A$205,A1201)=1,B1201&lt;&gt;"",COUNTIFS($A$6:$A$2005,A1201,$B$6:$B$2005,B1201)=1,OR(F1201="Supported",F1201="Unsupported",F1201="Contradicted"),OR(G1201="Supported",G1201="Wrong citation",G1201="Missing citation"),OR(H1201="Yes",H1201="No"),I1201&lt;&gt;"",OR(F1201&lt;&gt;"Supported",E1201&lt;&gt;""),OR(G1201&lt;&gt;"Supported",AND(F1201="Supported",D1201&lt;&gt;"",E1201&lt;&gt;""))),"Yes","No"))</f>
        <v/>
      </c>
    </row>
    <row r="1202" spans="11:11">
      <c r="K1202" s="11">
        <f>IF(OR(A1202="",C1202=""),"",IF(AND(COUNTIF(Responses!$A$6:$A$205,A1202)=1,B1202&lt;&gt;"",COUNTIFS($A$6:$A$2005,A1202,$B$6:$B$2005,B1202)=1,OR(F1202="Supported",F1202="Unsupported",F1202="Contradicted"),OR(G1202="Supported",G1202="Wrong citation",G1202="Missing citation"),OR(H1202="Yes",H1202="No"),I1202&lt;&gt;"",OR(F1202&lt;&gt;"Supported",E1202&lt;&gt;""),OR(G1202&lt;&gt;"Supported",AND(F1202="Supported",D1202&lt;&gt;"",E1202&lt;&gt;""))),"Yes","No"))</f>
        <v/>
      </c>
    </row>
    <row r="1203" spans="11:11">
      <c r="K1203" s="11">
        <f>IF(OR(A1203="",C1203=""),"",IF(AND(COUNTIF(Responses!$A$6:$A$205,A1203)=1,B1203&lt;&gt;"",COUNTIFS($A$6:$A$2005,A1203,$B$6:$B$2005,B1203)=1,OR(F1203="Supported",F1203="Unsupported",F1203="Contradicted"),OR(G1203="Supported",G1203="Wrong citation",G1203="Missing citation"),OR(H1203="Yes",H1203="No"),I1203&lt;&gt;"",OR(F1203&lt;&gt;"Supported",E1203&lt;&gt;""),OR(G1203&lt;&gt;"Supported",AND(F1203="Supported",D1203&lt;&gt;"",E1203&lt;&gt;""))),"Yes","No"))</f>
        <v/>
      </c>
    </row>
    <row r="1204" spans="11:11">
      <c r="K1204" s="11">
        <f>IF(OR(A1204="",C1204=""),"",IF(AND(COUNTIF(Responses!$A$6:$A$205,A1204)=1,B1204&lt;&gt;"",COUNTIFS($A$6:$A$2005,A1204,$B$6:$B$2005,B1204)=1,OR(F1204="Supported",F1204="Unsupported",F1204="Contradicted"),OR(G1204="Supported",G1204="Wrong citation",G1204="Missing citation"),OR(H1204="Yes",H1204="No"),I1204&lt;&gt;"",OR(F1204&lt;&gt;"Supported",E1204&lt;&gt;""),OR(G1204&lt;&gt;"Supported",AND(F1204="Supported",D1204&lt;&gt;"",E1204&lt;&gt;""))),"Yes","No"))</f>
        <v/>
      </c>
    </row>
    <row r="1205" spans="11:11">
      <c r="K1205" s="11">
        <f>IF(OR(A1205="",C1205=""),"",IF(AND(COUNTIF(Responses!$A$6:$A$205,A1205)=1,B1205&lt;&gt;"",COUNTIFS($A$6:$A$2005,A1205,$B$6:$B$2005,B1205)=1,OR(F1205="Supported",F1205="Unsupported",F1205="Contradicted"),OR(G1205="Supported",G1205="Wrong citation",G1205="Missing citation"),OR(H1205="Yes",H1205="No"),I1205&lt;&gt;"",OR(F1205&lt;&gt;"Supported",E1205&lt;&gt;""),OR(G1205&lt;&gt;"Supported",AND(F1205="Supported",D1205&lt;&gt;"",E1205&lt;&gt;""))),"Yes","No"))</f>
        <v/>
      </c>
    </row>
    <row r="1206" spans="11:11">
      <c r="K1206" s="11">
        <f>IF(OR(A1206="",C1206=""),"",IF(AND(COUNTIF(Responses!$A$6:$A$205,A1206)=1,B1206&lt;&gt;"",COUNTIFS($A$6:$A$2005,A1206,$B$6:$B$2005,B1206)=1,OR(F1206="Supported",F1206="Unsupported",F1206="Contradicted"),OR(G1206="Supported",G1206="Wrong citation",G1206="Missing citation"),OR(H1206="Yes",H1206="No"),I1206&lt;&gt;"",OR(F1206&lt;&gt;"Supported",E1206&lt;&gt;""),OR(G1206&lt;&gt;"Supported",AND(F1206="Supported",D1206&lt;&gt;"",E1206&lt;&gt;""))),"Yes","No"))</f>
        <v/>
      </c>
    </row>
    <row r="1207" spans="11:11">
      <c r="K1207" s="11">
        <f>IF(OR(A1207="",C1207=""),"",IF(AND(COUNTIF(Responses!$A$6:$A$205,A1207)=1,B1207&lt;&gt;"",COUNTIFS($A$6:$A$2005,A1207,$B$6:$B$2005,B1207)=1,OR(F1207="Supported",F1207="Unsupported",F1207="Contradicted"),OR(G1207="Supported",G1207="Wrong citation",G1207="Missing citation"),OR(H1207="Yes",H1207="No"),I1207&lt;&gt;"",OR(F1207&lt;&gt;"Supported",E1207&lt;&gt;""),OR(G1207&lt;&gt;"Supported",AND(F1207="Supported",D1207&lt;&gt;"",E1207&lt;&gt;""))),"Yes","No"))</f>
        <v/>
      </c>
    </row>
    <row r="1208" spans="11:11">
      <c r="K1208" s="11">
        <f>IF(OR(A1208="",C1208=""),"",IF(AND(COUNTIF(Responses!$A$6:$A$205,A1208)=1,B1208&lt;&gt;"",COUNTIFS($A$6:$A$2005,A1208,$B$6:$B$2005,B1208)=1,OR(F1208="Supported",F1208="Unsupported",F1208="Contradicted"),OR(G1208="Supported",G1208="Wrong citation",G1208="Missing citation"),OR(H1208="Yes",H1208="No"),I1208&lt;&gt;"",OR(F1208&lt;&gt;"Supported",E1208&lt;&gt;""),OR(G1208&lt;&gt;"Supported",AND(F1208="Supported",D1208&lt;&gt;"",E1208&lt;&gt;""))),"Yes","No"))</f>
        <v/>
      </c>
    </row>
    <row r="1209" spans="11:11">
      <c r="K1209" s="11">
        <f>IF(OR(A1209="",C1209=""),"",IF(AND(COUNTIF(Responses!$A$6:$A$205,A1209)=1,B1209&lt;&gt;"",COUNTIFS($A$6:$A$2005,A1209,$B$6:$B$2005,B1209)=1,OR(F1209="Supported",F1209="Unsupported",F1209="Contradicted"),OR(G1209="Supported",G1209="Wrong citation",G1209="Missing citation"),OR(H1209="Yes",H1209="No"),I1209&lt;&gt;"",OR(F1209&lt;&gt;"Supported",E1209&lt;&gt;""),OR(G1209&lt;&gt;"Supported",AND(F1209="Supported",D1209&lt;&gt;"",E1209&lt;&gt;""))),"Yes","No"))</f>
        <v/>
      </c>
    </row>
    <row r="1210" spans="11:11">
      <c r="K1210" s="11">
        <f>IF(OR(A1210="",C1210=""),"",IF(AND(COUNTIF(Responses!$A$6:$A$205,A1210)=1,B1210&lt;&gt;"",COUNTIFS($A$6:$A$2005,A1210,$B$6:$B$2005,B1210)=1,OR(F1210="Supported",F1210="Unsupported",F1210="Contradicted"),OR(G1210="Supported",G1210="Wrong citation",G1210="Missing citation"),OR(H1210="Yes",H1210="No"),I1210&lt;&gt;"",OR(F1210&lt;&gt;"Supported",E1210&lt;&gt;""),OR(G1210&lt;&gt;"Supported",AND(F1210="Supported",D1210&lt;&gt;"",E1210&lt;&gt;""))),"Yes","No"))</f>
        <v/>
      </c>
    </row>
    <row r="1211" spans="11:11">
      <c r="K1211" s="11">
        <f>IF(OR(A1211="",C1211=""),"",IF(AND(COUNTIF(Responses!$A$6:$A$205,A1211)=1,B1211&lt;&gt;"",COUNTIFS($A$6:$A$2005,A1211,$B$6:$B$2005,B1211)=1,OR(F1211="Supported",F1211="Unsupported",F1211="Contradicted"),OR(G1211="Supported",G1211="Wrong citation",G1211="Missing citation"),OR(H1211="Yes",H1211="No"),I1211&lt;&gt;"",OR(F1211&lt;&gt;"Supported",E1211&lt;&gt;""),OR(G1211&lt;&gt;"Supported",AND(F1211="Supported",D1211&lt;&gt;"",E1211&lt;&gt;""))),"Yes","No"))</f>
        <v/>
      </c>
    </row>
    <row r="1212" spans="11:11">
      <c r="K1212" s="11">
        <f>IF(OR(A1212="",C1212=""),"",IF(AND(COUNTIF(Responses!$A$6:$A$205,A1212)=1,B1212&lt;&gt;"",COUNTIFS($A$6:$A$2005,A1212,$B$6:$B$2005,B1212)=1,OR(F1212="Supported",F1212="Unsupported",F1212="Contradicted"),OR(G1212="Supported",G1212="Wrong citation",G1212="Missing citation"),OR(H1212="Yes",H1212="No"),I1212&lt;&gt;"",OR(F1212&lt;&gt;"Supported",E1212&lt;&gt;""),OR(G1212&lt;&gt;"Supported",AND(F1212="Supported",D1212&lt;&gt;"",E1212&lt;&gt;""))),"Yes","No"))</f>
        <v/>
      </c>
    </row>
    <row r="1213" spans="11:11">
      <c r="K1213" s="11">
        <f>IF(OR(A1213="",C1213=""),"",IF(AND(COUNTIF(Responses!$A$6:$A$205,A1213)=1,B1213&lt;&gt;"",COUNTIFS($A$6:$A$2005,A1213,$B$6:$B$2005,B1213)=1,OR(F1213="Supported",F1213="Unsupported",F1213="Contradicted"),OR(G1213="Supported",G1213="Wrong citation",G1213="Missing citation"),OR(H1213="Yes",H1213="No"),I1213&lt;&gt;"",OR(F1213&lt;&gt;"Supported",E1213&lt;&gt;""),OR(G1213&lt;&gt;"Supported",AND(F1213="Supported",D1213&lt;&gt;"",E1213&lt;&gt;""))),"Yes","No"))</f>
        <v/>
      </c>
    </row>
    <row r="1214" spans="11:11">
      <c r="K1214" s="11">
        <f>IF(OR(A1214="",C1214=""),"",IF(AND(COUNTIF(Responses!$A$6:$A$205,A1214)=1,B1214&lt;&gt;"",COUNTIFS($A$6:$A$2005,A1214,$B$6:$B$2005,B1214)=1,OR(F1214="Supported",F1214="Unsupported",F1214="Contradicted"),OR(G1214="Supported",G1214="Wrong citation",G1214="Missing citation"),OR(H1214="Yes",H1214="No"),I1214&lt;&gt;"",OR(F1214&lt;&gt;"Supported",E1214&lt;&gt;""),OR(G1214&lt;&gt;"Supported",AND(F1214="Supported",D1214&lt;&gt;"",E1214&lt;&gt;""))),"Yes","No"))</f>
        <v/>
      </c>
    </row>
    <row r="1215" spans="11:11">
      <c r="K1215" s="11">
        <f>IF(OR(A1215="",C1215=""),"",IF(AND(COUNTIF(Responses!$A$6:$A$205,A1215)=1,B1215&lt;&gt;"",COUNTIFS($A$6:$A$2005,A1215,$B$6:$B$2005,B1215)=1,OR(F1215="Supported",F1215="Unsupported",F1215="Contradicted"),OR(G1215="Supported",G1215="Wrong citation",G1215="Missing citation"),OR(H1215="Yes",H1215="No"),I1215&lt;&gt;"",OR(F1215&lt;&gt;"Supported",E1215&lt;&gt;""),OR(G1215&lt;&gt;"Supported",AND(F1215="Supported",D1215&lt;&gt;"",E1215&lt;&gt;""))),"Yes","No"))</f>
        <v/>
      </c>
    </row>
    <row r="1216" spans="11:11">
      <c r="K1216" s="11">
        <f>IF(OR(A1216="",C1216=""),"",IF(AND(COUNTIF(Responses!$A$6:$A$205,A1216)=1,B1216&lt;&gt;"",COUNTIFS($A$6:$A$2005,A1216,$B$6:$B$2005,B1216)=1,OR(F1216="Supported",F1216="Unsupported",F1216="Contradicted"),OR(G1216="Supported",G1216="Wrong citation",G1216="Missing citation"),OR(H1216="Yes",H1216="No"),I1216&lt;&gt;"",OR(F1216&lt;&gt;"Supported",E1216&lt;&gt;""),OR(G1216&lt;&gt;"Supported",AND(F1216="Supported",D1216&lt;&gt;"",E1216&lt;&gt;""))),"Yes","No"))</f>
        <v/>
      </c>
    </row>
    <row r="1217" spans="11:11">
      <c r="K1217" s="11">
        <f>IF(OR(A1217="",C1217=""),"",IF(AND(COUNTIF(Responses!$A$6:$A$205,A1217)=1,B1217&lt;&gt;"",COUNTIFS($A$6:$A$2005,A1217,$B$6:$B$2005,B1217)=1,OR(F1217="Supported",F1217="Unsupported",F1217="Contradicted"),OR(G1217="Supported",G1217="Wrong citation",G1217="Missing citation"),OR(H1217="Yes",H1217="No"),I1217&lt;&gt;"",OR(F1217&lt;&gt;"Supported",E1217&lt;&gt;""),OR(G1217&lt;&gt;"Supported",AND(F1217="Supported",D1217&lt;&gt;"",E1217&lt;&gt;""))),"Yes","No"))</f>
        <v/>
      </c>
    </row>
    <row r="1218" spans="11:11">
      <c r="K1218" s="11">
        <f>IF(OR(A1218="",C1218=""),"",IF(AND(COUNTIF(Responses!$A$6:$A$205,A1218)=1,B1218&lt;&gt;"",COUNTIFS($A$6:$A$2005,A1218,$B$6:$B$2005,B1218)=1,OR(F1218="Supported",F1218="Unsupported",F1218="Contradicted"),OR(G1218="Supported",G1218="Wrong citation",G1218="Missing citation"),OR(H1218="Yes",H1218="No"),I1218&lt;&gt;"",OR(F1218&lt;&gt;"Supported",E1218&lt;&gt;""),OR(G1218&lt;&gt;"Supported",AND(F1218="Supported",D1218&lt;&gt;"",E1218&lt;&gt;""))),"Yes","No"))</f>
        <v/>
      </c>
    </row>
    <row r="1219" spans="11:11">
      <c r="K1219" s="11">
        <f>IF(OR(A1219="",C1219=""),"",IF(AND(COUNTIF(Responses!$A$6:$A$205,A1219)=1,B1219&lt;&gt;"",COUNTIFS($A$6:$A$2005,A1219,$B$6:$B$2005,B1219)=1,OR(F1219="Supported",F1219="Unsupported",F1219="Contradicted"),OR(G1219="Supported",G1219="Wrong citation",G1219="Missing citation"),OR(H1219="Yes",H1219="No"),I1219&lt;&gt;"",OR(F1219&lt;&gt;"Supported",E1219&lt;&gt;""),OR(G1219&lt;&gt;"Supported",AND(F1219="Supported",D1219&lt;&gt;"",E1219&lt;&gt;""))),"Yes","No"))</f>
        <v/>
      </c>
    </row>
    <row r="1220" spans="11:11">
      <c r="K1220" s="11">
        <f>IF(OR(A1220="",C1220=""),"",IF(AND(COUNTIF(Responses!$A$6:$A$205,A1220)=1,B1220&lt;&gt;"",COUNTIFS($A$6:$A$2005,A1220,$B$6:$B$2005,B1220)=1,OR(F1220="Supported",F1220="Unsupported",F1220="Contradicted"),OR(G1220="Supported",G1220="Wrong citation",G1220="Missing citation"),OR(H1220="Yes",H1220="No"),I1220&lt;&gt;"",OR(F1220&lt;&gt;"Supported",E1220&lt;&gt;""),OR(G1220&lt;&gt;"Supported",AND(F1220="Supported",D1220&lt;&gt;"",E1220&lt;&gt;""))),"Yes","No"))</f>
        <v/>
      </c>
    </row>
    <row r="1221" spans="11:11">
      <c r="K1221" s="11">
        <f>IF(OR(A1221="",C1221=""),"",IF(AND(COUNTIF(Responses!$A$6:$A$205,A1221)=1,B1221&lt;&gt;"",COUNTIFS($A$6:$A$2005,A1221,$B$6:$B$2005,B1221)=1,OR(F1221="Supported",F1221="Unsupported",F1221="Contradicted"),OR(G1221="Supported",G1221="Wrong citation",G1221="Missing citation"),OR(H1221="Yes",H1221="No"),I1221&lt;&gt;"",OR(F1221&lt;&gt;"Supported",E1221&lt;&gt;""),OR(G1221&lt;&gt;"Supported",AND(F1221="Supported",D1221&lt;&gt;"",E1221&lt;&gt;""))),"Yes","No"))</f>
        <v/>
      </c>
    </row>
    <row r="1222" spans="11:11">
      <c r="K1222" s="11">
        <f>IF(OR(A1222="",C1222=""),"",IF(AND(COUNTIF(Responses!$A$6:$A$205,A1222)=1,B1222&lt;&gt;"",COUNTIFS($A$6:$A$2005,A1222,$B$6:$B$2005,B1222)=1,OR(F1222="Supported",F1222="Unsupported",F1222="Contradicted"),OR(G1222="Supported",G1222="Wrong citation",G1222="Missing citation"),OR(H1222="Yes",H1222="No"),I1222&lt;&gt;"",OR(F1222&lt;&gt;"Supported",E1222&lt;&gt;""),OR(G1222&lt;&gt;"Supported",AND(F1222="Supported",D1222&lt;&gt;"",E1222&lt;&gt;""))),"Yes","No"))</f>
        <v/>
      </c>
    </row>
    <row r="1223" spans="11:11">
      <c r="K1223" s="11">
        <f>IF(OR(A1223="",C1223=""),"",IF(AND(COUNTIF(Responses!$A$6:$A$205,A1223)=1,B1223&lt;&gt;"",COUNTIFS($A$6:$A$2005,A1223,$B$6:$B$2005,B1223)=1,OR(F1223="Supported",F1223="Unsupported",F1223="Contradicted"),OR(G1223="Supported",G1223="Wrong citation",G1223="Missing citation"),OR(H1223="Yes",H1223="No"),I1223&lt;&gt;"",OR(F1223&lt;&gt;"Supported",E1223&lt;&gt;""),OR(G1223&lt;&gt;"Supported",AND(F1223="Supported",D1223&lt;&gt;"",E1223&lt;&gt;""))),"Yes","No"))</f>
        <v/>
      </c>
    </row>
    <row r="1224" spans="11:11">
      <c r="K1224" s="11">
        <f>IF(OR(A1224="",C1224=""),"",IF(AND(COUNTIF(Responses!$A$6:$A$205,A1224)=1,B1224&lt;&gt;"",COUNTIFS($A$6:$A$2005,A1224,$B$6:$B$2005,B1224)=1,OR(F1224="Supported",F1224="Unsupported",F1224="Contradicted"),OR(G1224="Supported",G1224="Wrong citation",G1224="Missing citation"),OR(H1224="Yes",H1224="No"),I1224&lt;&gt;"",OR(F1224&lt;&gt;"Supported",E1224&lt;&gt;""),OR(G1224&lt;&gt;"Supported",AND(F1224="Supported",D1224&lt;&gt;"",E1224&lt;&gt;""))),"Yes","No"))</f>
        <v/>
      </c>
    </row>
    <row r="1225" spans="11:11">
      <c r="K1225" s="11">
        <f>IF(OR(A1225="",C1225=""),"",IF(AND(COUNTIF(Responses!$A$6:$A$205,A1225)=1,B1225&lt;&gt;"",COUNTIFS($A$6:$A$2005,A1225,$B$6:$B$2005,B1225)=1,OR(F1225="Supported",F1225="Unsupported",F1225="Contradicted"),OR(G1225="Supported",G1225="Wrong citation",G1225="Missing citation"),OR(H1225="Yes",H1225="No"),I1225&lt;&gt;"",OR(F1225&lt;&gt;"Supported",E1225&lt;&gt;""),OR(G1225&lt;&gt;"Supported",AND(F1225="Supported",D1225&lt;&gt;"",E1225&lt;&gt;""))),"Yes","No"))</f>
        <v/>
      </c>
    </row>
    <row r="1226" spans="11:11">
      <c r="K1226" s="11">
        <f>IF(OR(A1226="",C1226=""),"",IF(AND(COUNTIF(Responses!$A$6:$A$205,A1226)=1,B1226&lt;&gt;"",COUNTIFS($A$6:$A$2005,A1226,$B$6:$B$2005,B1226)=1,OR(F1226="Supported",F1226="Unsupported",F1226="Contradicted"),OR(G1226="Supported",G1226="Wrong citation",G1226="Missing citation"),OR(H1226="Yes",H1226="No"),I1226&lt;&gt;"",OR(F1226&lt;&gt;"Supported",E1226&lt;&gt;""),OR(G1226&lt;&gt;"Supported",AND(F1226="Supported",D1226&lt;&gt;"",E1226&lt;&gt;""))),"Yes","No"))</f>
        <v/>
      </c>
    </row>
    <row r="1227" spans="11:11">
      <c r="K1227" s="11">
        <f>IF(OR(A1227="",C1227=""),"",IF(AND(COUNTIF(Responses!$A$6:$A$205,A1227)=1,B1227&lt;&gt;"",COUNTIFS($A$6:$A$2005,A1227,$B$6:$B$2005,B1227)=1,OR(F1227="Supported",F1227="Unsupported",F1227="Contradicted"),OR(G1227="Supported",G1227="Wrong citation",G1227="Missing citation"),OR(H1227="Yes",H1227="No"),I1227&lt;&gt;"",OR(F1227&lt;&gt;"Supported",E1227&lt;&gt;""),OR(G1227&lt;&gt;"Supported",AND(F1227="Supported",D1227&lt;&gt;"",E1227&lt;&gt;""))),"Yes","No"))</f>
        <v/>
      </c>
    </row>
    <row r="1228" spans="11:11">
      <c r="K1228" s="11">
        <f>IF(OR(A1228="",C1228=""),"",IF(AND(COUNTIF(Responses!$A$6:$A$205,A1228)=1,B1228&lt;&gt;"",COUNTIFS($A$6:$A$2005,A1228,$B$6:$B$2005,B1228)=1,OR(F1228="Supported",F1228="Unsupported",F1228="Contradicted"),OR(G1228="Supported",G1228="Wrong citation",G1228="Missing citation"),OR(H1228="Yes",H1228="No"),I1228&lt;&gt;"",OR(F1228&lt;&gt;"Supported",E1228&lt;&gt;""),OR(G1228&lt;&gt;"Supported",AND(F1228="Supported",D1228&lt;&gt;"",E1228&lt;&gt;""))),"Yes","No"))</f>
        <v/>
      </c>
    </row>
    <row r="1229" spans="11:11">
      <c r="K1229" s="11">
        <f>IF(OR(A1229="",C1229=""),"",IF(AND(COUNTIF(Responses!$A$6:$A$205,A1229)=1,B1229&lt;&gt;"",COUNTIFS($A$6:$A$2005,A1229,$B$6:$B$2005,B1229)=1,OR(F1229="Supported",F1229="Unsupported",F1229="Contradicted"),OR(G1229="Supported",G1229="Wrong citation",G1229="Missing citation"),OR(H1229="Yes",H1229="No"),I1229&lt;&gt;"",OR(F1229&lt;&gt;"Supported",E1229&lt;&gt;""),OR(G1229&lt;&gt;"Supported",AND(F1229="Supported",D1229&lt;&gt;"",E1229&lt;&gt;""))),"Yes","No"))</f>
        <v/>
      </c>
    </row>
    <row r="1230" spans="11:11">
      <c r="K1230" s="11">
        <f>IF(OR(A1230="",C1230=""),"",IF(AND(COUNTIF(Responses!$A$6:$A$205,A1230)=1,B1230&lt;&gt;"",COUNTIFS($A$6:$A$2005,A1230,$B$6:$B$2005,B1230)=1,OR(F1230="Supported",F1230="Unsupported",F1230="Contradicted"),OR(G1230="Supported",G1230="Wrong citation",G1230="Missing citation"),OR(H1230="Yes",H1230="No"),I1230&lt;&gt;"",OR(F1230&lt;&gt;"Supported",E1230&lt;&gt;""),OR(G1230&lt;&gt;"Supported",AND(F1230="Supported",D1230&lt;&gt;"",E1230&lt;&gt;""))),"Yes","No"))</f>
        <v/>
      </c>
    </row>
    <row r="1231" spans="11:11">
      <c r="K1231" s="11">
        <f>IF(OR(A1231="",C1231=""),"",IF(AND(COUNTIF(Responses!$A$6:$A$205,A1231)=1,B1231&lt;&gt;"",COUNTIFS($A$6:$A$2005,A1231,$B$6:$B$2005,B1231)=1,OR(F1231="Supported",F1231="Unsupported",F1231="Contradicted"),OR(G1231="Supported",G1231="Wrong citation",G1231="Missing citation"),OR(H1231="Yes",H1231="No"),I1231&lt;&gt;"",OR(F1231&lt;&gt;"Supported",E1231&lt;&gt;""),OR(G1231&lt;&gt;"Supported",AND(F1231="Supported",D1231&lt;&gt;"",E1231&lt;&gt;""))),"Yes","No"))</f>
        <v/>
      </c>
    </row>
    <row r="1232" spans="11:11">
      <c r="K1232" s="11">
        <f>IF(OR(A1232="",C1232=""),"",IF(AND(COUNTIF(Responses!$A$6:$A$205,A1232)=1,B1232&lt;&gt;"",COUNTIFS($A$6:$A$2005,A1232,$B$6:$B$2005,B1232)=1,OR(F1232="Supported",F1232="Unsupported",F1232="Contradicted"),OR(G1232="Supported",G1232="Wrong citation",G1232="Missing citation"),OR(H1232="Yes",H1232="No"),I1232&lt;&gt;"",OR(F1232&lt;&gt;"Supported",E1232&lt;&gt;""),OR(G1232&lt;&gt;"Supported",AND(F1232="Supported",D1232&lt;&gt;"",E1232&lt;&gt;""))),"Yes","No"))</f>
        <v/>
      </c>
    </row>
    <row r="1233" spans="11:11">
      <c r="K1233" s="11">
        <f>IF(OR(A1233="",C1233=""),"",IF(AND(COUNTIF(Responses!$A$6:$A$205,A1233)=1,B1233&lt;&gt;"",COUNTIFS($A$6:$A$2005,A1233,$B$6:$B$2005,B1233)=1,OR(F1233="Supported",F1233="Unsupported",F1233="Contradicted"),OR(G1233="Supported",G1233="Wrong citation",G1233="Missing citation"),OR(H1233="Yes",H1233="No"),I1233&lt;&gt;"",OR(F1233&lt;&gt;"Supported",E1233&lt;&gt;""),OR(G1233&lt;&gt;"Supported",AND(F1233="Supported",D1233&lt;&gt;"",E1233&lt;&gt;""))),"Yes","No"))</f>
        <v/>
      </c>
    </row>
    <row r="1234" spans="11:11">
      <c r="K1234" s="11">
        <f>IF(OR(A1234="",C1234=""),"",IF(AND(COUNTIF(Responses!$A$6:$A$205,A1234)=1,B1234&lt;&gt;"",COUNTIFS($A$6:$A$2005,A1234,$B$6:$B$2005,B1234)=1,OR(F1234="Supported",F1234="Unsupported",F1234="Contradicted"),OR(G1234="Supported",G1234="Wrong citation",G1234="Missing citation"),OR(H1234="Yes",H1234="No"),I1234&lt;&gt;"",OR(F1234&lt;&gt;"Supported",E1234&lt;&gt;""),OR(G1234&lt;&gt;"Supported",AND(F1234="Supported",D1234&lt;&gt;"",E1234&lt;&gt;""))),"Yes","No"))</f>
        <v/>
      </c>
    </row>
    <row r="1235" spans="11:11">
      <c r="K1235" s="11">
        <f>IF(OR(A1235="",C1235=""),"",IF(AND(COUNTIF(Responses!$A$6:$A$205,A1235)=1,B1235&lt;&gt;"",COUNTIFS($A$6:$A$2005,A1235,$B$6:$B$2005,B1235)=1,OR(F1235="Supported",F1235="Unsupported",F1235="Contradicted"),OR(G1235="Supported",G1235="Wrong citation",G1235="Missing citation"),OR(H1235="Yes",H1235="No"),I1235&lt;&gt;"",OR(F1235&lt;&gt;"Supported",E1235&lt;&gt;""),OR(G1235&lt;&gt;"Supported",AND(F1235="Supported",D1235&lt;&gt;"",E1235&lt;&gt;""))),"Yes","No"))</f>
        <v/>
      </c>
    </row>
    <row r="1236" spans="11:11">
      <c r="K1236" s="11">
        <f>IF(OR(A1236="",C1236=""),"",IF(AND(COUNTIF(Responses!$A$6:$A$205,A1236)=1,B1236&lt;&gt;"",COUNTIFS($A$6:$A$2005,A1236,$B$6:$B$2005,B1236)=1,OR(F1236="Supported",F1236="Unsupported",F1236="Contradicted"),OR(G1236="Supported",G1236="Wrong citation",G1236="Missing citation"),OR(H1236="Yes",H1236="No"),I1236&lt;&gt;"",OR(F1236&lt;&gt;"Supported",E1236&lt;&gt;""),OR(G1236&lt;&gt;"Supported",AND(F1236="Supported",D1236&lt;&gt;"",E1236&lt;&gt;""))),"Yes","No"))</f>
        <v/>
      </c>
    </row>
    <row r="1237" spans="11:11">
      <c r="K1237" s="11">
        <f>IF(OR(A1237="",C1237=""),"",IF(AND(COUNTIF(Responses!$A$6:$A$205,A1237)=1,B1237&lt;&gt;"",COUNTIFS($A$6:$A$2005,A1237,$B$6:$B$2005,B1237)=1,OR(F1237="Supported",F1237="Unsupported",F1237="Contradicted"),OR(G1237="Supported",G1237="Wrong citation",G1237="Missing citation"),OR(H1237="Yes",H1237="No"),I1237&lt;&gt;"",OR(F1237&lt;&gt;"Supported",E1237&lt;&gt;""),OR(G1237&lt;&gt;"Supported",AND(F1237="Supported",D1237&lt;&gt;"",E1237&lt;&gt;""))),"Yes","No"))</f>
        <v/>
      </c>
    </row>
    <row r="1238" spans="11:11">
      <c r="K1238" s="11">
        <f>IF(OR(A1238="",C1238=""),"",IF(AND(COUNTIF(Responses!$A$6:$A$205,A1238)=1,B1238&lt;&gt;"",COUNTIFS($A$6:$A$2005,A1238,$B$6:$B$2005,B1238)=1,OR(F1238="Supported",F1238="Unsupported",F1238="Contradicted"),OR(G1238="Supported",G1238="Wrong citation",G1238="Missing citation"),OR(H1238="Yes",H1238="No"),I1238&lt;&gt;"",OR(F1238&lt;&gt;"Supported",E1238&lt;&gt;""),OR(G1238&lt;&gt;"Supported",AND(F1238="Supported",D1238&lt;&gt;"",E1238&lt;&gt;""))),"Yes","No"))</f>
        <v/>
      </c>
    </row>
    <row r="1239" spans="11:11">
      <c r="K1239" s="11">
        <f>IF(OR(A1239="",C1239=""),"",IF(AND(COUNTIF(Responses!$A$6:$A$205,A1239)=1,B1239&lt;&gt;"",COUNTIFS($A$6:$A$2005,A1239,$B$6:$B$2005,B1239)=1,OR(F1239="Supported",F1239="Unsupported",F1239="Contradicted"),OR(G1239="Supported",G1239="Wrong citation",G1239="Missing citation"),OR(H1239="Yes",H1239="No"),I1239&lt;&gt;"",OR(F1239&lt;&gt;"Supported",E1239&lt;&gt;""),OR(G1239&lt;&gt;"Supported",AND(F1239="Supported",D1239&lt;&gt;"",E1239&lt;&gt;""))),"Yes","No"))</f>
        <v/>
      </c>
    </row>
    <row r="1240" spans="11:11">
      <c r="K1240" s="11">
        <f>IF(OR(A1240="",C1240=""),"",IF(AND(COUNTIF(Responses!$A$6:$A$205,A1240)=1,B1240&lt;&gt;"",COUNTIFS($A$6:$A$2005,A1240,$B$6:$B$2005,B1240)=1,OR(F1240="Supported",F1240="Unsupported",F1240="Contradicted"),OR(G1240="Supported",G1240="Wrong citation",G1240="Missing citation"),OR(H1240="Yes",H1240="No"),I1240&lt;&gt;"",OR(F1240&lt;&gt;"Supported",E1240&lt;&gt;""),OR(G1240&lt;&gt;"Supported",AND(F1240="Supported",D1240&lt;&gt;"",E1240&lt;&gt;""))),"Yes","No"))</f>
        <v/>
      </c>
    </row>
    <row r="1241" spans="11:11">
      <c r="K1241" s="11">
        <f>IF(OR(A1241="",C1241=""),"",IF(AND(COUNTIF(Responses!$A$6:$A$205,A1241)=1,B1241&lt;&gt;"",COUNTIFS($A$6:$A$2005,A1241,$B$6:$B$2005,B1241)=1,OR(F1241="Supported",F1241="Unsupported",F1241="Contradicted"),OR(G1241="Supported",G1241="Wrong citation",G1241="Missing citation"),OR(H1241="Yes",H1241="No"),I1241&lt;&gt;"",OR(F1241&lt;&gt;"Supported",E1241&lt;&gt;""),OR(G1241&lt;&gt;"Supported",AND(F1241="Supported",D1241&lt;&gt;"",E1241&lt;&gt;""))),"Yes","No"))</f>
        <v/>
      </c>
    </row>
    <row r="1242" spans="11:11">
      <c r="K1242" s="11">
        <f>IF(OR(A1242="",C1242=""),"",IF(AND(COUNTIF(Responses!$A$6:$A$205,A1242)=1,B1242&lt;&gt;"",COUNTIFS($A$6:$A$2005,A1242,$B$6:$B$2005,B1242)=1,OR(F1242="Supported",F1242="Unsupported",F1242="Contradicted"),OR(G1242="Supported",G1242="Wrong citation",G1242="Missing citation"),OR(H1242="Yes",H1242="No"),I1242&lt;&gt;"",OR(F1242&lt;&gt;"Supported",E1242&lt;&gt;""),OR(G1242&lt;&gt;"Supported",AND(F1242="Supported",D1242&lt;&gt;"",E1242&lt;&gt;""))),"Yes","No"))</f>
        <v/>
      </c>
    </row>
    <row r="1243" spans="11:11">
      <c r="K1243" s="11">
        <f>IF(OR(A1243="",C1243=""),"",IF(AND(COUNTIF(Responses!$A$6:$A$205,A1243)=1,B1243&lt;&gt;"",COUNTIFS($A$6:$A$2005,A1243,$B$6:$B$2005,B1243)=1,OR(F1243="Supported",F1243="Unsupported",F1243="Contradicted"),OR(G1243="Supported",G1243="Wrong citation",G1243="Missing citation"),OR(H1243="Yes",H1243="No"),I1243&lt;&gt;"",OR(F1243&lt;&gt;"Supported",E1243&lt;&gt;""),OR(G1243&lt;&gt;"Supported",AND(F1243="Supported",D1243&lt;&gt;"",E1243&lt;&gt;""))),"Yes","No"))</f>
        <v/>
      </c>
    </row>
    <row r="1244" spans="11:11">
      <c r="K1244" s="11">
        <f>IF(OR(A1244="",C1244=""),"",IF(AND(COUNTIF(Responses!$A$6:$A$205,A1244)=1,B1244&lt;&gt;"",COUNTIFS($A$6:$A$2005,A1244,$B$6:$B$2005,B1244)=1,OR(F1244="Supported",F1244="Unsupported",F1244="Contradicted"),OR(G1244="Supported",G1244="Wrong citation",G1244="Missing citation"),OR(H1244="Yes",H1244="No"),I1244&lt;&gt;"",OR(F1244&lt;&gt;"Supported",E1244&lt;&gt;""),OR(G1244&lt;&gt;"Supported",AND(F1244="Supported",D1244&lt;&gt;"",E1244&lt;&gt;""))),"Yes","No"))</f>
        <v/>
      </c>
    </row>
    <row r="1245" spans="11:11">
      <c r="K1245" s="11">
        <f>IF(OR(A1245="",C1245=""),"",IF(AND(COUNTIF(Responses!$A$6:$A$205,A1245)=1,B1245&lt;&gt;"",COUNTIFS($A$6:$A$2005,A1245,$B$6:$B$2005,B1245)=1,OR(F1245="Supported",F1245="Unsupported",F1245="Contradicted"),OR(G1245="Supported",G1245="Wrong citation",G1245="Missing citation"),OR(H1245="Yes",H1245="No"),I1245&lt;&gt;"",OR(F1245&lt;&gt;"Supported",E1245&lt;&gt;""),OR(G1245&lt;&gt;"Supported",AND(F1245="Supported",D1245&lt;&gt;"",E1245&lt;&gt;""))),"Yes","No"))</f>
        <v/>
      </c>
    </row>
    <row r="1246" spans="11:11">
      <c r="K1246" s="11">
        <f>IF(OR(A1246="",C1246=""),"",IF(AND(COUNTIF(Responses!$A$6:$A$205,A1246)=1,B1246&lt;&gt;"",COUNTIFS($A$6:$A$2005,A1246,$B$6:$B$2005,B1246)=1,OR(F1246="Supported",F1246="Unsupported",F1246="Contradicted"),OR(G1246="Supported",G1246="Wrong citation",G1246="Missing citation"),OR(H1246="Yes",H1246="No"),I1246&lt;&gt;"",OR(F1246&lt;&gt;"Supported",E1246&lt;&gt;""),OR(G1246&lt;&gt;"Supported",AND(F1246="Supported",D1246&lt;&gt;"",E1246&lt;&gt;""))),"Yes","No"))</f>
        <v/>
      </c>
    </row>
    <row r="1247" spans="11:11">
      <c r="K1247" s="11">
        <f>IF(OR(A1247="",C1247=""),"",IF(AND(COUNTIF(Responses!$A$6:$A$205,A1247)=1,B1247&lt;&gt;"",COUNTIFS($A$6:$A$2005,A1247,$B$6:$B$2005,B1247)=1,OR(F1247="Supported",F1247="Unsupported",F1247="Contradicted"),OR(G1247="Supported",G1247="Wrong citation",G1247="Missing citation"),OR(H1247="Yes",H1247="No"),I1247&lt;&gt;"",OR(F1247&lt;&gt;"Supported",E1247&lt;&gt;""),OR(G1247&lt;&gt;"Supported",AND(F1247="Supported",D1247&lt;&gt;"",E1247&lt;&gt;""))),"Yes","No"))</f>
        <v/>
      </c>
    </row>
    <row r="1248" spans="11:11">
      <c r="K1248" s="11">
        <f>IF(OR(A1248="",C1248=""),"",IF(AND(COUNTIF(Responses!$A$6:$A$205,A1248)=1,B1248&lt;&gt;"",COUNTIFS($A$6:$A$2005,A1248,$B$6:$B$2005,B1248)=1,OR(F1248="Supported",F1248="Unsupported",F1248="Contradicted"),OR(G1248="Supported",G1248="Wrong citation",G1248="Missing citation"),OR(H1248="Yes",H1248="No"),I1248&lt;&gt;"",OR(F1248&lt;&gt;"Supported",E1248&lt;&gt;""),OR(G1248&lt;&gt;"Supported",AND(F1248="Supported",D1248&lt;&gt;"",E1248&lt;&gt;""))),"Yes","No"))</f>
        <v/>
      </c>
    </row>
    <row r="1249" spans="11:11">
      <c r="K1249" s="11">
        <f>IF(OR(A1249="",C1249=""),"",IF(AND(COUNTIF(Responses!$A$6:$A$205,A1249)=1,B1249&lt;&gt;"",COUNTIFS($A$6:$A$2005,A1249,$B$6:$B$2005,B1249)=1,OR(F1249="Supported",F1249="Unsupported",F1249="Contradicted"),OR(G1249="Supported",G1249="Wrong citation",G1249="Missing citation"),OR(H1249="Yes",H1249="No"),I1249&lt;&gt;"",OR(F1249&lt;&gt;"Supported",E1249&lt;&gt;""),OR(G1249&lt;&gt;"Supported",AND(F1249="Supported",D1249&lt;&gt;"",E1249&lt;&gt;""))),"Yes","No"))</f>
        <v/>
      </c>
    </row>
    <row r="1250" spans="11:11">
      <c r="K1250" s="11">
        <f>IF(OR(A1250="",C1250=""),"",IF(AND(COUNTIF(Responses!$A$6:$A$205,A1250)=1,B1250&lt;&gt;"",COUNTIFS($A$6:$A$2005,A1250,$B$6:$B$2005,B1250)=1,OR(F1250="Supported",F1250="Unsupported",F1250="Contradicted"),OR(G1250="Supported",G1250="Wrong citation",G1250="Missing citation"),OR(H1250="Yes",H1250="No"),I1250&lt;&gt;"",OR(F1250&lt;&gt;"Supported",E1250&lt;&gt;""),OR(G1250&lt;&gt;"Supported",AND(F1250="Supported",D1250&lt;&gt;"",E1250&lt;&gt;""))),"Yes","No"))</f>
        <v/>
      </c>
    </row>
    <row r="1251" spans="11:11">
      <c r="K1251" s="11">
        <f>IF(OR(A1251="",C1251=""),"",IF(AND(COUNTIF(Responses!$A$6:$A$205,A1251)=1,B1251&lt;&gt;"",COUNTIFS($A$6:$A$2005,A1251,$B$6:$B$2005,B1251)=1,OR(F1251="Supported",F1251="Unsupported",F1251="Contradicted"),OR(G1251="Supported",G1251="Wrong citation",G1251="Missing citation"),OR(H1251="Yes",H1251="No"),I1251&lt;&gt;"",OR(F1251&lt;&gt;"Supported",E1251&lt;&gt;""),OR(G1251&lt;&gt;"Supported",AND(F1251="Supported",D1251&lt;&gt;"",E1251&lt;&gt;""))),"Yes","No"))</f>
        <v/>
      </c>
    </row>
    <row r="1252" spans="11:11">
      <c r="K1252" s="11">
        <f>IF(OR(A1252="",C1252=""),"",IF(AND(COUNTIF(Responses!$A$6:$A$205,A1252)=1,B1252&lt;&gt;"",COUNTIFS($A$6:$A$2005,A1252,$B$6:$B$2005,B1252)=1,OR(F1252="Supported",F1252="Unsupported",F1252="Contradicted"),OR(G1252="Supported",G1252="Wrong citation",G1252="Missing citation"),OR(H1252="Yes",H1252="No"),I1252&lt;&gt;"",OR(F1252&lt;&gt;"Supported",E1252&lt;&gt;""),OR(G1252&lt;&gt;"Supported",AND(F1252="Supported",D1252&lt;&gt;"",E1252&lt;&gt;""))),"Yes","No"))</f>
        <v/>
      </c>
    </row>
    <row r="1253" spans="11:11">
      <c r="K1253" s="11">
        <f>IF(OR(A1253="",C1253=""),"",IF(AND(COUNTIF(Responses!$A$6:$A$205,A1253)=1,B1253&lt;&gt;"",COUNTIFS($A$6:$A$2005,A1253,$B$6:$B$2005,B1253)=1,OR(F1253="Supported",F1253="Unsupported",F1253="Contradicted"),OR(G1253="Supported",G1253="Wrong citation",G1253="Missing citation"),OR(H1253="Yes",H1253="No"),I1253&lt;&gt;"",OR(F1253&lt;&gt;"Supported",E1253&lt;&gt;""),OR(G1253&lt;&gt;"Supported",AND(F1253="Supported",D1253&lt;&gt;"",E1253&lt;&gt;""))),"Yes","No"))</f>
        <v/>
      </c>
    </row>
    <row r="1254" spans="11:11">
      <c r="K1254" s="11">
        <f>IF(OR(A1254="",C1254=""),"",IF(AND(COUNTIF(Responses!$A$6:$A$205,A1254)=1,B1254&lt;&gt;"",COUNTIFS($A$6:$A$2005,A1254,$B$6:$B$2005,B1254)=1,OR(F1254="Supported",F1254="Unsupported",F1254="Contradicted"),OR(G1254="Supported",G1254="Wrong citation",G1254="Missing citation"),OR(H1254="Yes",H1254="No"),I1254&lt;&gt;"",OR(F1254&lt;&gt;"Supported",E1254&lt;&gt;""),OR(G1254&lt;&gt;"Supported",AND(F1254="Supported",D1254&lt;&gt;"",E1254&lt;&gt;""))),"Yes","No"))</f>
        <v/>
      </c>
    </row>
    <row r="1255" spans="11:11">
      <c r="K1255" s="11">
        <f>IF(OR(A1255="",C1255=""),"",IF(AND(COUNTIF(Responses!$A$6:$A$205,A1255)=1,B1255&lt;&gt;"",COUNTIFS($A$6:$A$2005,A1255,$B$6:$B$2005,B1255)=1,OR(F1255="Supported",F1255="Unsupported",F1255="Contradicted"),OR(G1255="Supported",G1255="Wrong citation",G1255="Missing citation"),OR(H1255="Yes",H1255="No"),I1255&lt;&gt;"",OR(F1255&lt;&gt;"Supported",E1255&lt;&gt;""),OR(G1255&lt;&gt;"Supported",AND(F1255="Supported",D1255&lt;&gt;"",E1255&lt;&gt;""))),"Yes","No"))</f>
        <v/>
      </c>
    </row>
    <row r="1256" spans="11:11">
      <c r="K1256" s="11">
        <f>IF(OR(A1256="",C1256=""),"",IF(AND(COUNTIF(Responses!$A$6:$A$205,A1256)=1,B1256&lt;&gt;"",COUNTIFS($A$6:$A$2005,A1256,$B$6:$B$2005,B1256)=1,OR(F1256="Supported",F1256="Unsupported",F1256="Contradicted"),OR(G1256="Supported",G1256="Wrong citation",G1256="Missing citation"),OR(H1256="Yes",H1256="No"),I1256&lt;&gt;"",OR(F1256&lt;&gt;"Supported",E1256&lt;&gt;""),OR(G1256&lt;&gt;"Supported",AND(F1256="Supported",D1256&lt;&gt;"",E1256&lt;&gt;""))),"Yes","No"))</f>
        <v/>
      </c>
    </row>
    <row r="1257" spans="11:11">
      <c r="K1257" s="11">
        <f>IF(OR(A1257="",C1257=""),"",IF(AND(COUNTIF(Responses!$A$6:$A$205,A1257)=1,B1257&lt;&gt;"",COUNTIFS($A$6:$A$2005,A1257,$B$6:$B$2005,B1257)=1,OR(F1257="Supported",F1257="Unsupported",F1257="Contradicted"),OR(G1257="Supported",G1257="Wrong citation",G1257="Missing citation"),OR(H1257="Yes",H1257="No"),I1257&lt;&gt;"",OR(F1257&lt;&gt;"Supported",E1257&lt;&gt;""),OR(G1257&lt;&gt;"Supported",AND(F1257="Supported",D1257&lt;&gt;"",E1257&lt;&gt;""))),"Yes","No"))</f>
        <v/>
      </c>
    </row>
    <row r="1258" spans="11:11">
      <c r="K1258" s="11">
        <f>IF(OR(A1258="",C1258=""),"",IF(AND(COUNTIF(Responses!$A$6:$A$205,A1258)=1,B1258&lt;&gt;"",COUNTIFS($A$6:$A$2005,A1258,$B$6:$B$2005,B1258)=1,OR(F1258="Supported",F1258="Unsupported",F1258="Contradicted"),OR(G1258="Supported",G1258="Wrong citation",G1258="Missing citation"),OR(H1258="Yes",H1258="No"),I1258&lt;&gt;"",OR(F1258&lt;&gt;"Supported",E1258&lt;&gt;""),OR(G1258&lt;&gt;"Supported",AND(F1258="Supported",D1258&lt;&gt;"",E1258&lt;&gt;""))),"Yes","No"))</f>
        <v/>
      </c>
    </row>
    <row r="1259" spans="11:11">
      <c r="K1259" s="11">
        <f>IF(OR(A1259="",C1259=""),"",IF(AND(COUNTIF(Responses!$A$6:$A$205,A1259)=1,B1259&lt;&gt;"",COUNTIFS($A$6:$A$2005,A1259,$B$6:$B$2005,B1259)=1,OR(F1259="Supported",F1259="Unsupported",F1259="Contradicted"),OR(G1259="Supported",G1259="Wrong citation",G1259="Missing citation"),OR(H1259="Yes",H1259="No"),I1259&lt;&gt;"",OR(F1259&lt;&gt;"Supported",E1259&lt;&gt;""),OR(G1259&lt;&gt;"Supported",AND(F1259="Supported",D1259&lt;&gt;"",E1259&lt;&gt;""))),"Yes","No"))</f>
        <v/>
      </c>
    </row>
    <row r="1260" spans="11:11">
      <c r="K1260" s="11">
        <f>IF(OR(A1260="",C1260=""),"",IF(AND(COUNTIF(Responses!$A$6:$A$205,A1260)=1,B1260&lt;&gt;"",COUNTIFS($A$6:$A$2005,A1260,$B$6:$B$2005,B1260)=1,OR(F1260="Supported",F1260="Unsupported",F1260="Contradicted"),OR(G1260="Supported",G1260="Wrong citation",G1260="Missing citation"),OR(H1260="Yes",H1260="No"),I1260&lt;&gt;"",OR(F1260&lt;&gt;"Supported",E1260&lt;&gt;""),OR(G1260&lt;&gt;"Supported",AND(F1260="Supported",D1260&lt;&gt;"",E1260&lt;&gt;""))),"Yes","No"))</f>
        <v/>
      </c>
    </row>
    <row r="1261" spans="11:11">
      <c r="K1261" s="11">
        <f>IF(OR(A1261="",C1261=""),"",IF(AND(COUNTIF(Responses!$A$6:$A$205,A1261)=1,B1261&lt;&gt;"",COUNTIFS($A$6:$A$2005,A1261,$B$6:$B$2005,B1261)=1,OR(F1261="Supported",F1261="Unsupported",F1261="Contradicted"),OR(G1261="Supported",G1261="Wrong citation",G1261="Missing citation"),OR(H1261="Yes",H1261="No"),I1261&lt;&gt;"",OR(F1261&lt;&gt;"Supported",E1261&lt;&gt;""),OR(G1261&lt;&gt;"Supported",AND(F1261="Supported",D1261&lt;&gt;"",E1261&lt;&gt;""))),"Yes","No"))</f>
        <v/>
      </c>
    </row>
    <row r="1262" spans="11:11">
      <c r="K1262" s="11">
        <f>IF(OR(A1262="",C1262=""),"",IF(AND(COUNTIF(Responses!$A$6:$A$205,A1262)=1,B1262&lt;&gt;"",COUNTIFS($A$6:$A$2005,A1262,$B$6:$B$2005,B1262)=1,OR(F1262="Supported",F1262="Unsupported",F1262="Contradicted"),OR(G1262="Supported",G1262="Wrong citation",G1262="Missing citation"),OR(H1262="Yes",H1262="No"),I1262&lt;&gt;"",OR(F1262&lt;&gt;"Supported",E1262&lt;&gt;""),OR(G1262&lt;&gt;"Supported",AND(F1262="Supported",D1262&lt;&gt;"",E1262&lt;&gt;""))),"Yes","No"))</f>
        <v/>
      </c>
    </row>
    <row r="1263" spans="11:11">
      <c r="K1263" s="11">
        <f>IF(OR(A1263="",C1263=""),"",IF(AND(COUNTIF(Responses!$A$6:$A$205,A1263)=1,B1263&lt;&gt;"",COUNTIFS($A$6:$A$2005,A1263,$B$6:$B$2005,B1263)=1,OR(F1263="Supported",F1263="Unsupported",F1263="Contradicted"),OR(G1263="Supported",G1263="Wrong citation",G1263="Missing citation"),OR(H1263="Yes",H1263="No"),I1263&lt;&gt;"",OR(F1263&lt;&gt;"Supported",E1263&lt;&gt;""),OR(G1263&lt;&gt;"Supported",AND(F1263="Supported",D1263&lt;&gt;"",E1263&lt;&gt;""))),"Yes","No"))</f>
        <v/>
      </c>
    </row>
    <row r="1264" spans="11:11">
      <c r="K1264" s="11">
        <f>IF(OR(A1264="",C1264=""),"",IF(AND(COUNTIF(Responses!$A$6:$A$205,A1264)=1,B1264&lt;&gt;"",COUNTIFS($A$6:$A$2005,A1264,$B$6:$B$2005,B1264)=1,OR(F1264="Supported",F1264="Unsupported",F1264="Contradicted"),OR(G1264="Supported",G1264="Wrong citation",G1264="Missing citation"),OR(H1264="Yes",H1264="No"),I1264&lt;&gt;"",OR(F1264&lt;&gt;"Supported",E1264&lt;&gt;""),OR(G1264&lt;&gt;"Supported",AND(F1264="Supported",D1264&lt;&gt;"",E1264&lt;&gt;""))),"Yes","No"))</f>
        <v/>
      </c>
    </row>
    <row r="1265" spans="11:11">
      <c r="K1265" s="11">
        <f>IF(OR(A1265="",C1265=""),"",IF(AND(COUNTIF(Responses!$A$6:$A$205,A1265)=1,B1265&lt;&gt;"",COUNTIFS($A$6:$A$2005,A1265,$B$6:$B$2005,B1265)=1,OR(F1265="Supported",F1265="Unsupported",F1265="Contradicted"),OR(G1265="Supported",G1265="Wrong citation",G1265="Missing citation"),OR(H1265="Yes",H1265="No"),I1265&lt;&gt;"",OR(F1265&lt;&gt;"Supported",E1265&lt;&gt;""),OR(G1265&lt;&gt;"Supported",AND(F1265="Supported",D1265&lt;&gt;"",E1265&lt;&gt;""))),"Yes","No"))</f>
        <v/>
      </c>
    </row>
    <row r="1266" spans="11:11">
      <c r="K1266" s="11">
        <f>IF(OR(A1266="",C1266=""),"",IF(AND(COUNTIF(Responses!$A$6:$A$205,A1266)=1,B1266&lt;&gt;"",COUNTIFS($A$6:$A$2005,A1266,$B$6:$B$2005,B1266)=1,OR(F1266="Supported",F1266="Unsupported",F1266="Contradicted"),OR(G1266="Supported",G1266="Wrong citation",G1266="Missing citation"),OR(H1266="Yes",H1266="No"),I1266&lt;&gt;"",OR(F1266&lt;&gt;"Supported",E1266&lt;&gt;""),OR(G1266&lt;&gt;"Supported",AND(F1266="Supported",D1266&lt;&gt;"",E1266&lt;&gt;""))),"Yes","No"))</f>
        <v/>
      </c>
    </row>
    <row r="1267" spans="11:11">
      <c r="K1267" s="11">
        <f>IF(OR(A1267="",C1267=""),"",IF(AND(COUNTIF(Responses!$A$6:$A$205,A1267)=1,B1267&lt;&gt;"",COUNTIFS($A$6:$A$2005,A1267,$B$6:$B$2005,B1267)=1,OR(F1267="Supported",F1267="Unsupported",F1267="Contradicted"),OR(G1267="Supported",G1267="Wrong citation",G1267="Missing citation"),OR(H1267="Yes",H1267="No"),I1267&lt;&gt;"",OR(F1267&lt;&gt;"Supported",E1267&lt;&gt;""),OR(G1267&lt;&gt;"Supported",AND(F1267="Supported",D1267&lt;&gt;"",E1267&lt;&gt;""))),"Yes","No"))</f>
        <v/>
      </c>
    </row>
    <row r="1268" spans="11:11">
      <c r="K1268" s="11">
        <f>IF(OR(A1268="",C1268=""),"",IF(AND(COUNTIF(Responses!$A$6:$A$205,A1268)=1,B1268&lt;&gt;"",COUNTIFS($A$6:$A$2005,A1268,$B$6:$B$2005,B1268)=1,OR(F1268="Supported",F1268="Unsupported",F1268="Contradicted"),OR(G1268="Supported",G1268="Wrong citation",G1268="Missing citation"),OR(H1268="Yes",H1268="No"),I1268&lt;&gt;"",OR(F1268&lt;&gt;"Supported",E1268&lt;&gt;""),OR(G1268&lt;&gt;"Supported",AND(F1268="Supported",D1268&lt;&gt;"",E1268&lt;&gt;""))),"Yes","No"))</f>
        <v/>
      </c>
    </row>
    <row r="1269" spans="11:11">
      <c r="K1269" s="11">
        <f>IF(OR(A1269="",C1269=""),"",IF(AND(COUNTIF(Responses!$A$6:$A$205,A1269)=1,B1269&lt;&gt;"",COUNTIFS($A$6:$A$2005,A1269,$B$6:$B$2005,B1269)=1,OR(F1269="Supported",F1269="Unsupported",F1269="Contradicted"),OR(G1269="Supported",G1269="Wrong citation",G1269="Missing citation"),OR(H1269="Yes",H1269="No"),I1269&lt;&gt;"",OR(F1269&lt;&gt;"Supported",E1269&lt;&gt;""),OR(G1269&lt;&gt;"Supported",AND(F1269="Supported",D1269&lt;&gt;"",E1269&lt;&gt;""))),"Yes","No"))</f>
        <v/>
      </c>
    </row>
    <row r="1270" spans="11:11">
      <c r="K1270" s="11">
        <f>IF(OR(A1270="",C1270=""),"",IF(AND(COUNTIF(Responses!$A$6:$A$205,A1270)=1,B1270&lt;&gt;"",COUNTIFS($A$6:$A$2005,A1270,$B$6:$B$2005,B1270)=1,OR(F1270="Supported",F1270="Unsupported",F1270="Contradicted"),OR(G1270="Supported",G1270="Wrong citation",G1270="Missing citation"),OR(H1270="Yes",H1270="No"),I1270&lt;&gt;"",OR(F1270&lt;&gt;"Supported",E1270&lt;&gt;""),OR(G1270&lt;&gt;"Supported",AND(F1270="Supported",D1270&lt;&gt;"",E1270&lt;&gt;""))),"Yes","No"))</f>
        <v/>
      </c>
    </row>
    <row r="1271" spans="11:11">
      <c r="K1271" s="11">
        <f>IF(OR(A1271="",C1271=""),"",IF(AND(COUNTIF(Responses!$A$6:$A$205,A1271)=1,B1271&lt;&gt;"",COUNTIFS($A$6:$A$2005,A1271,$B$6:$B$2005,B1271)=1,OR(F1271="Supported",F1271="Unsupported",F1271="Contradicted"),OR(G1271="Supported",G1271="Wrong citation",G1271="Missing citation"),OR(H1271="Yes",H1271="No"),I1271&lt;&gt;"",OR(F1271&lt;&gt;"Supported",E1271&lt;&gt;""),OR(G1271&lt;&gt;"Supported",AND(F1271="Supported",D1271&lt;&gt;"",E1271&lt;&gt;""))),"Yes","No"))</f>
        <v/>
      </c>
    </row>
    <row r="1272" spans="11:11">
      <c r="K1272" s="11">
        <f>IF(OR(A1272="",C1272=""),"",IF(AND(COUNTIF(Responses!$A$6:$A$205,A1272)=1,B1272&lt;&gt;"",COUNTIFS($A$6:$A$2005,A1272,$B$6:$B$2005,B1272)=1,OR(F1272="Supported",F1272="Unsupported",F1272="Contradicted"),OR(G1272="Supported",G1272="Wrong citation",G1272="Missing citation"),OR(H1272="Yes",H1272="No"),I1272&lt;&gt;"",OR(F1272&lt;&gt;"Supported",E1272&lt;&gt;""),OR(G1272&lt;&gt;"Supported",AND(F1272="Supported",D1272&lt;&gt;"",E1272&lt;&gt;""))),"Yes","No"))</f>
        <v/>
      </c>
    </row>
    <row r="1273" spans="11:11">
      <c r="K1273" s="11">
        <f>IF(OR(A1273="",C1273=""),"",IF(AND(COUNTIF(Responses!$A$6:$A$205,A1273)=1,B1273&lt;&gt;"",COUNTIFS($A$6:$A$2005,A1273,$B$6:$B$2005,B1273)=1,OR(F1273="Supported",F1273="Unsupported",F1273="Contradicted"),OR(G1273="Supported",G1273="Wrong citation",G1273="Missing citation"),OR(H1273="Yes",H1273="No"),I1273&lt;&gt;"",OR(F1273&lt;&gt;"Supported",E1273&lt;&gt;""),OR(G1273&lt;&gt;"Supported",AND(F1273="Supported",D1273&lt;&gt;"",E1273&lt;&gt;""))),"Yes","No"))</f>
        <v/>
      </c>
    </row>
    <row r="1274" spans="11:11">
      <c r="K1274" s="11">
        <f>IF(OR(A1274="",C1274=""),"",IF(AND(COUNTIF(Responses!$A$6:$A$205,A1274)=1,B1274&lt;&gt;"",COUNTIFS($A$6:$A$2005,A1274,$B$6:$B$2005,B1274)=1,OR(F1274="Supported",F1274="Unsupported",F1274="Contradicted"),OR(G1274="Supported",G1274="Wrong citation",G1274="Missing citation"),OR(H1274="Yes",H1274="No"),I1274&lt;&gt;"",OR(F1274&lt;&gt;"Supported",E1274&lt;&gt;""),OR(G1274&lt;&gt;"Supported",AND(F1274="Supported",D1274&lt;&gt;"",E1274&lt;&gt;""))),"Yes","No"))</f>
        <v/>
      </c>
    </row>
    <row r="1275" spans="11:11">
      <c r="K1275" s="11">
        <f>IF(OR(A1275="",C1275=""),"",IF(AND(COUNTIF(Responses!$A$6:$A$205,A1275)=1,B1275&lt;&gt;"",COUNTIFS($A$6:$A$2005,A1275,$B$6:$B$2005,B1275)=1,OR(F1275="Supported",F1275="Unsupported",F1275="Contradicted"),OR(G1275="Supported",G1275="Wrong citation",G1275="Missing citation"),OR(H1275="Yes",H1275="No"),I1275&lt;&gt;"",OR(F1275&lt;&gt;"Supported",E1275&lt;&gt;""),OR(G1275&lt;&gt;"Supported",AND(F1275="Supported",D1275&lt;&gt;"",E1275&lt;&gt;""))),"Yes","No"))</f>
        <v/>
      </c>
    </row>
    <row r="1276" spans="11:11">
      <c r="K1276" s="11">
        <f>IF(OR(A1276="",C1276=""),"",IF(AND(COUNTIF(Responses!$A$6:$A$205,A1276)=1,B1276&lt;&gt;"",COUNTIFS($A$6:$A$2005,A1276,$B$6:$B$2005,B1276)=1,OR(F1276="Supported",F1276="Unsupported",F1276="Contradicted"),OR(G1276="Supported",G1276="Wrong citation",G1276="Missing citation"),OR(H1276="Yes",H1276="No"),I1276&lt;&gt;"",OR(F1276&lt;&gt;"Supported",E1276&lt;&gt;""),OR(G1276&lt;&gt;"Supported",AND(F1276="Supported",D1276&lt;&gt;"",E1276&lt;&gt;""))),"Yes","No"))</f>
        <v/>
      </c>
    </row>
    <row r="1277" spans="11:11">
      <c r="K1277" s="11">
        <f>IF(OR(A1277="",C1277=""),"",IF(AND(COUNTIF(Responses!$A$6:$A$205,A1277)=1,B1277&lt;&gt;"",COUNTIFS($A$6:$A$2005,A1277,$B$6:$B$2005,B1277)=1,OR(F1277="Supported",F1277="Unsupported",F1277="Contradicted"),OR(G1277="Supported",G1277="Wrong citation",G1277="Missing citation"),OR(H1277="Yes",H1277="No"),I1277&lt;&gt;"",OR(F1277&lt;&gt;"Supported",E1277&lt;&gt;""),OR(G1277&lt;&gt;"Supported",AND(F1277="Supported",D1277&lt;&gt;"",E1277&lt;&gt;""))),"Yes","No"))</f>
        <v/>
      </c>
    </row>
    <row r="1278" spans="11:11">
      <c r="K1278" s="11">
        <f>IF(OR(A1278="",C1278=""),"",IF(AND(COUNTIF(Responses!$A$6:$A$205,A1278)=1,B1278&lt;&gt;"",COUNTIFS($A$6:$A$2005,A1278,$B$6:$B$2005,B1278)=1,OR(F1278="Supported",F1278="Unsupported",F1278="Contradicted"),OR(G1278="Supported",G1278="Wrong citation",G1278="Missing citation"),OR(H1278="Yes",H1278="No"),I1278&lt;&gt;"",OR(F1278&lt;&gt;"Supported",E1278&lt;&gt;""),OR(G1278&lt;&gt;"Supported",AND(F1278="Supported",D1278&lt;&gt;"",E1278&lt;&gt;""))),"Yes","No"))</f>
        <v/>
      </c>
    </row>
    <row r="1279" spans="11:11">
      <c r="K1279" s="11">
        <f>IF(OR(A1279="",C1279=""),"",IF(AND(COUNTIF(Responses!$A$6:$A$205,A1279)=1,B1279&lt;&gt;"",COUNTIFS($A$6:$A$2005,A1279,$B$6:$B$2005,B1279)=1,OR(F1279="Supported",F1279="Unsupported",F1279="Contradicted"),OR(G1279="Supported",G1279="Wrong citation",G1279="Missing citation"),OR(H1279="Yes",H1279="No"),I1279&lt;&gt;"",OR(F1279&lt;&gt;"Supported",E1279&lt;&gt;""),OR(G1279&lt;&gt;"Supported",AND(F1279="Supported",D1279&lt;&gt;"",E1279&lt;&gt;""))),"Yes","No"))</f>
        <v/>
      </c>
    </row>
    <row r="1280" spans="11:11">
      <c r="K1280" s="11">
        <f>IF(OR(A1280="",C1280=""),"",IF(AND(COUNTIF(Responses!$A$6:$A$205,A1280)=1,B1280&lt;&gt;"",COUNTIFS($A$6:$A$2005,A1280,$B$6:$B$2005,B1280)=1,OR(F1280="Supported",F1280="Unsupported",F1280="Contradicted"),OR(G1280="Supported",G1280="Wrong citation",G1280="Missing citation"),OR(H1280="Yes",H1280="No"),I1280&lt;&gt;"",OR(F1280&lt;&gt;"Supported",E1280&lt;&gt;""),OR(G1280&lt;&gt;"Supported",AND(F1280="Supported",D1280&lt;&gt;"",E1280&lt;&gt;""))),"Yes","No"))</f>
        <v/>
      </c>
    </row>
    <row r="1281" spans="11:11">
      <c r="K1281" s="11">
        <f>IF(OR(A1281="",C1281=""),"",IF(AND(COUNTIF(Responses!$A$6:$A$205,A1281)=1,B1281&lt;&gt;"",COUNTIFS($A$6:$A$2005,A1281,$B$6:$B$2005,B1281)=1,OR(F1281="Supported",F1281="Unsupported",F1281="Contradicted"),OR(G1281="Supported",G1281="Wrong citation",G1281="Missing citation"),OR(H1281="Yes",H1281="No"),I1281&lt;&gt;"",OR(F1281&lt;&gt;"Supported",E1281&lt;&gt;""),OR(G1281&lt;&gt;"Supported",AND(F1281="Supported",D1281&lt;&gt;"",E1281&lt;&gt;""))),"Yes","No"))</f>
        <v/>
      </c>
    </row>
    <row r="1282" spans="11:11">
      <c r="K1282" s="11">
        <f>IF(OR(A1282="",C1282=""),"",IF(AND(COUNTIF(Responses!$A$6:$A$205,A1282)=1,B1282&lt;&gt;"",COUNTIFS($A$6:$A$2005,A1282,$B$6:$B$2005,B1282)=1,OR(F1282="Supported",F1282="Unsupported",F1282="Contradicted"),OR(G1282="Supported",G1282="Wrong citation",G1282="Missing citation"),OR(H1282="Yes",H1282="No"),I1282&lt;&gt;"",OR(F1282&lt;&gt;"Supported",E1282&lt;&gt;""),OR(G1282&lt;&gt;"Supported",AND(F1282="Supported",D1282&lt;&gt;"",E1282&lt;&gt;""))),"Yes","No"))</f>
        <v/>
      </c>
    </row>
    <row r="1283" spans="11:11">
      <c r="K1283" s="11">
        <f>IF(OR(A1283="",C1283=""),"",IF(AND(COUNTIF(Responses!$A$6:$A$205,A1283)=1,B1283&lt;&gt;"",COUNTIFS($A$6:$A$2005,A1283,$B$6:$B$2005,B1283)=1,OR(F1283="Supported",F1283="Unsupported",F1283="Contradicted"),OR(G1283="Supported",G1283="Wrong citation",G1283="Missing citation"),OR(H1283="Yes",H1283="No"),I1283&lt;&gt;"",OR(F1283&lt;&gt;"Supported",E1283&lt;&gt;""),OR(G1283&lt;&gt;"Supported",AND(F1283="Supported",D1283&lt;&gt;"",E1283&lt;&gt;""))),"Yes","No"))</f>
        <v/>
      </c>
    </row>
    <row r="1284" spans="11:11">
      <c r="K1284" s="11">
        <f>IF(OR(A1284="",C1284=""),"",IF(AND(COUNTIF(Responses!$A$6:$A$205,A1284)=1,B1284&lt;&gt;"",COUNTIFS($A$6:$A$2005,A1284,$B$6:$B$2005,B1284)=1,OR(F1284="Supported",F1284="Unsupported",F1284="Contradicted"),OR(G1284="Supported",G1284="Wrong citation",G1284="Missing citation"),OR(H1284="Yes",H1284="No"),I1284&lt;&gt;"",OR(F1284&lt;&gt;"Supported",E1284&lt;&gt;""),OR(G1284&lt;&gt;"Supported",AND(F1284="Supported",D1284&lt;&gt;"",E1284&lt;&gt;""))),"Yes","No"))</f>
        <v/>
      </c>
    </row>
    <row r="1285" spans="11:11">
      <c r="K1285" s="11">
        <f>IF(OR(A1285="",C1285=""),"",IF(AND(COUNTIF(Responses!$A$6:$A$205,A1285)=1,B1285&lt;&gt;"",COUNTIFS($A$6:$A$2005,A1285,$B$6:$B$2005,B1285)=1,OR(F1285="Supported",F1285="Unsupported",F1285="Contradicted"),OR(G1285="Supported",G1285="Wrong citation",G1285="Missing citation"),OR(H1285="Yes",H1285="No"),I1285&lt;&gt;"",OR(F1285&lt;&gt;"Supported",E1285&lt;&gt;""),OR(G1285&lt;&gt;"Supported",AND(F1285="Supported",D1285&lt;&gt;"",E1285&lt;&gt;""))),"Yes","No"))</f>
        <v/>
      </c>
    </row>
    <row r="1286" spans="11:11">
      <c r="K1286" s="11">
        <f>IF(OR(A1286="",C1286=""),"",IF(AND(COUNTIF(Responses!$A$6:$A$205,A1286)=1,B1286&lt;&gt;"",COUNTIFS($A$6:$A$2005,A1286,$B$6:$B$2005,B1286)=1,OR(F1286="Supported",F1286="Unsupported",F1286="Contradicted"),OR(G1286="Supported",G1286="Wrong citation",G1286="Missing citation"),OR(H1286="Yes",H1286="No"),I1286&lt;&gt;"",OR(F1286&lt;&gt;"Supported",E1286&lt;&gt;""),OR(G1286&lt;&gt;"Supported",AND(F1286="Supported",D1286&lt;&gt;"",E1286&lt;&gt;""))),"Yes","No"))</f>
        <v/>
      </c>
    </row>
    <row r="1287" spans="11:11">
      <c r="K1287" s="11">
        <f>IF(OR(A1287="",C1287=""),"",IF(AND(COUNTIF(Responses!$A$6:$A$205,A1287)=1,B1287&lt;&gt;"",COUNTIFS($A$6:$A$2005,A1287,$B$6:$B$2005,B1287)=1,OR(F1287="Supported",F1287="Unsupported",F1287="Contradicted"),OR(G1287="Supported",G1287="Wrong citation",G1287="Missing citation"),OR(H1287="Yes",H1287="No"),I1287&lt;&gt;"",OR(F1287&lt;&gt;"Supported",E1287&lt;&gt;""),OR(G1287&lt;&gt;"Supported",AND(F1287="Supported",D1287&lt;&gt;"",E1287&lt;&gt;""))),"Yes","No"))</f>
        <v/>
      </c>
    </row>
    <row r="1288" spans="11:11">
      <c r="K1288" s="11">
        <f>IF(OR(A1288="",C1288=""),"",IF(AND(COUNTIF(Responses!$A$6:$A$205,A1288)=1,B1288&lt;&gt;"",COUNTIFS($A$6:$A$2005,A1288,$B$6:$B$2005,B1288)=1,OR(F1288="Supported",F1288="Unsupported",F1288="Contradicted"),OR(G1288="Supported",G1288="Wrong citation",G1288="Missing citation"),OR(H1288="Yes",H1288="No"),I1288&lt;&gt;"",OR(F1288&lt;&gt;"Supported",E1288&lt;&gt;""),OR(G1288&lt;&gt;"Supported",AND(F1288="Supported",D1288&lt;&gt;"",E1288&lt;&gt;""))),"Yes","No"))</f>
        <v/>
      </c>
    </row>
    <row r="1289" spans="11:11">
      <c r="K1289" s="11">
        <f>IF(OR(A1289="",C1289=""),"",IF(AND(COUNTIF(Responses!$A$6:$A$205,A1289)=1,B1289&lt;&gt;"",COUNTIFS($A$6:$A$2005,A1289,$B$6:$B$2005,B1289)=1,OR(F1289="Supported",F1289="Unsupported",F1289="Contradicted"),OR(G1289="Supported",G1289="Wrong citation",G1289="Missing citation"),OR(H1289="Yes",H1289="No"),I1289&lt;&gt;"",OR(F1289&lt;&gt;"Supported",E1289&lt;&gt;""),OR(G1289&lt;&gt;"Supported",AND(F1289="Supported",D1289&lt;&gt;"",E1289&lt;&gt;""))),"Yes","No"))</f>
        <v/>
      </c>
    </row>
    <row r="1290" spans="11:11">
      <c r="K1290" s="11">
        <f>IF(OR(A1290="",C1290=""),"",IF(AND(COUNTIF(Responses!$A$6:$A$205,A1290)=1,B1290&lt;&gt;"",COUNTIFS($A$6:$A$2005,A1290,$B$6:$B$2005,B1290)=1,OR(F1290="Supported",F1290="Unsupported",F1290="Contradicted"),OR(G1290="Supported",G1290="Wrong citation",G1290="Missing citation"),OR(H1290="Yes",H1290="No"),I1290&lt;&gt;"",OR(F1290&lt;&gt;"Supported",E1290&lt;&gt;""),OR(G1290&lt;&gt;"Supported",AND(F1290="Supported",D1290&lt;&gt;"",E1290&lt;&gt;""))),"Yes","No"))</f>
        <v/>
      </c>
    </row>
    <row r="1291" spans="11:11">
      <c r="K1291" s="11">
        <f>IF(OR(A1291="",C1291=""),"",IF(AND(COUNTIF(Responses!$A$6:$A$205,A1291)=1,B1291&lt;&gt;"",COUNTIFS($A$6:$A$2005,A1291,$B$6:$B$2005,B1291)=1,OR(F1291="Supported",F1291="Unsupported",F1291="Contradicted"),OR(G1291="Supported",G1291="Wrong citation",G1291="Missing citation"),OR(H1291="Yes",H1291="No"),I1291&lt;&gt;"",OR(F1291&lt;&gt;"Supported",E1291&lt;&gt;""),OR(G1291&lt;&gt;"Supported",AND(F1291="Supported",D1291&lt;&gt;"",E1291&lt;&gt;""))),"Yes","No"))</f>
        <v/>
      </c>
    </row>
    <row r="1292" spans="11:11">
      <c r="K1292" s="11">
        <f>IF(OR(A1292="",C1292=""),"",IF(AND(COUNTIF(Responses!$A$6:$A$205,A1292)=1,B1292&lt;&gt;"",COUNTIFS($A$6:$A$2005,A1292,$B$6:$B$2005,B1292)=1,OR(F1292="Supported",F1292="Unsupported",F1292="Contradicted"),OR(G1292="Supported",G1292="Wrong citation",G1292="Missing citation"),OR(H1292="Yes",H1292="No"),I1292&lt;&gt;"",OR(F1292&lt;&gt;"Supported",E1292&lt;&gt;""),OR(G1292&lt;&gt;"Supported",AND(F1292="Supported",D1292&lt;&gt;"",E1292&lt;&gt;""))),"Yes","No"))</f>
        <v/>
      </c>
    </row>
    <row r="1293" spans="11:11">
      <c r="K1293" s="11">
        <f>IF(OR(A1293="",C1293=""),"",IF(AND(COUNTIF(Responses!$A$6:$A$205,A1293)=1,B1293&lt;&gt;"",COUNTIFS($A$6:$A$2005,A1293,$B$6:$B$2005,B1293)=1,OR(F1293="Supported",F1293="Unsupported",F1293="Contradicted"),OR(G1293="Supported",G1293="Wrong citation",G1293="Missing citation"),OR(H1293="Yes",H1293="No"),I1293&lt;&gt;"",OR(F1293&lt;&gt;"Supported",E1293&lt;&gt;""),OR(G1293&lt;&gt;"Supported",AND(F1293="Supported",D1293&lt;&gt;"",E1293&lt;&gt;""))),"Yes","No"))</f>
        <v/>
      </c>
    </row>
    <row r="1294" spans="11:11">
      <c r="K1294" s="11">
        <f>IF(OR(A1294="",C1294=""),"",IF(AND(COUNTIF(Responses!$A$6:$A$205,A1294)=1,B1294&lt;&gt;"",COUNTIFS($A$6:$A$2005,A1294,$B$6:$B$2005,B1294)=1,OR(F1294="Supported",F1294="Unsupported",F1294="Contradicted"),OR(G1294="Supported",G1294="Wrong citation",G1294="Missing citation"),OR(H1294="Yes",H1294="No"),I1294&lt;&gt;"",OR(F1294&lt;&gt;"Supported",E1294&lt;&gt;""),OR(G1294&lt;&gt;"Supported",AND(F1294="Supported",D1294&lt;&gt;"",E1294&lt;&gt;""))),"Yes","No"))</f>
        <v/>
      </c>
    </row>
    <row r="1295" spans="11:11">
      <c r="K1295" s="11">
        <f>IF(OR(A1295="",C1295=""),"",IF(AND(COUNTIF(Responses!$A$6:$A$205,A1295)=1,B1295&lt;&gt;"",COUNTIFS($A$6:$A$2005,A1295,$B$6:$B$2005,B1295)=1,OR(F1295="Supported",F1295="Unsupported",F1295="Contradicted"),OR(G1295="Supported",G1295="Wrong citation",G1295="Missing citation"),OR(H1295="Yes",H1295="No"),I1295&lt;&gt;"",OR(F1295&lt;&gt;"Supported",E1295&lt;&gt;""),OR(G1295&lt;&gt;"Supported",AND(F1295="Supported",D1295&lt;&gt;"",E1295&lt;&gt;""))),"Yes","No"))</f>
        <v/>
      </c>
    </row>
    <row r="1296" spans="11:11">
      <c r="K1296" s="11">
        <f>IF(OR(A1296="",C1296=""),"",IF(AND(COUNTIF(Responses!$A$6:$A$205,A1296)=1,B1296&lt;&gt;"",COUNTIFS($A$6:$A$2005,A1296,$B$6:$B$2005,B1296)=1,OR(F1296="Supported",F1296="Unsupported",F1296="Contradicted"),OR(G1296="Supported",G1296="Wrong citation",G1296="Missing citation"),OR(H1296="Yes",H1296="No"),I1296&lt;&gt;"",OR(F1296&lt;&gt;"Supported",E1296&lt;&gt;""),OR(G1296&lt;&gt;"Supported",AND(F1296="Supported",D1296&lt;&gt;"",E1296&lt;&gt;""))),"Yes","No"))</f>
        <v/>
      </c>
    </row>
    <row r="1297" spans="11:11">
      <c r="K1297" s="11">
        <f>IF(OR(A1297="",C1297=""),"",IF(AND(COUNTIF(Responses!$A$6:$A$205,A1297)=1,B1297&lt;&gt;"",COUNTIFS($A$6:$A$2005,A1297,$B$6:$B$2005,B1297)=1,OR(F1297="Supported",F1297="Unsupported",F1297="Contradicted"),OR(G1297="Supported",G1297="Wrong citation",G1297="Missing citation"),OR(H1297="Yes",H1297="No"),I1297&lt;&gt;"",OR(F1297&lt;&gt;"Supported",E1297&lt;&gt;""),OR(G1297&lt;&gt;"Supported",AND(F1297="Supported",D1297&lt;&gt;"",E1297&lt;&gt;""))),"Yes","No"))</f>
        <v/>
      </c>
    </row>
    <row r="1298" spans="11:11">
      <c r="K1298" s="11">
        <f>IF(OR(A1298="",C1298=""),"",IF(AND(COUNTIF(Responses!$A$6:$A$205,A1298)=1,B1298&lt;&gt;"",COUNTIFS($A$6:$A$2005,A1298,$B$6:$B$2005,B1298)=1,OR(F1298="Supported",F1298="Unsupported",F1298="Contradicted"),OR(G1298="Supported",G1298="Wrong citation",G1298="Missing citation"),OR(H1298="Yes",H1298="No"),I1298&lt;&gt;"",OR(F1298&lt;&gt;"Supported",E1298&lt;&gt;""),OR(G1298&lt;&gt;"Supported",AND(F1298="Supported",D1298&lt;&gt;"",E1298&lt;&gt;""))),"Yes","No"))</f>
        <v/>
      </c>
    </row>
    <row r="1299" spans="11:11">
      <c r="K1299" s="11">
        <f>IF(OR(A1299="",C1299=""),"",IF(AND(COUNTIF(Responses!$A$6:$A$205,A1299)=1,B1299&lt;&gt;"",COUNTIFS($A$6:$A$2005,A1299,$B$6:$B$2005,B1299)=1,OR(F1299="Supported",F1299="Unsupported",F1299="Contradicted"),OR(G1299="Supported",G1299="Wrong citation",G1299="Missing citation"),OR(H1299="Yes",H1299="No"),I1299&lt;&gt;"",OR(F1299&lt;&gt;"Supported",E1299&lt;&gt;""),OR(G1299&lt;&gt;"Supported",AND(F1299="Supported",D1299&lt;&gt;"",E1299&lt;&gt;""))),"Yes","No"))</f>
        <v/>
      </c>
    </row>
    <row r="1300" spans="11:11">
      <c r="K1300" s="11">
        <f>IF(OR(A1300="",C1300=""),"",IF(AND(COUNTIF(Responses!$A$6:$A$205,A1300)=1,B1300&lt;&gt;"",COUNTIFS($A$6:$A$2005,A1300,$B$6:$B$2005,B1300)=1,OR(F1300="Supported",F1300="Unsupported",F1300="Contradicted"),OR(G1300="Supported",G1300="Wrong citation",G1300="Missing citation"),OR(H1300="Yes",H1300="No"),I1300&lt;&gt;"",OR(F1300&lt;&gt;"Supported",E1300&lt;&gt;""),OR(G1300&lt;&gt;"Supported",AND(F1300="Supported",D1300&lt;&gt;"",E1300&lt;&gt;""))),"Yes","No"))</f>
        <v/>
      </c>
    </row>
    <row r="1301" spans="11:11">
      <c r="K1301" s="11">
        <f>IF(OR(A1301="",C1301=""),"",IF(AND(COUNTIF(Responses!$A$6:$A$205,A1301)=1,B1301&lt;&gt;"",COUNTIFS($A$6:$A$2005,A1301,$B$6:$B$2005,B1301)=1,OR(F1301="Supported",F1301="Unsupported",F1301="Contradicted"),OR(G1301="Supported",G1301="Wrong citation",G1301="Missing citation"),OR(H1301="Yes",H1301="No"),I1301&lt;&gt;"",OR(F1301&lt;&gt;"Supported",E1301&lt;&gt;""),OR(G1301&lt;&gt;"Supported",AND(F1301="Supported",D1301&lt;&gt;"",E1301&lt;&gt;""))),"Yes","No"))</f>
        <v/>
      </c>
    </row>
    <row r="1302" spans="11:11">
      <c r="K1302" s="11">
        <f>IF(OR(A1302="",C1302=""),"",IF(AND(COUNTIF(Responses!$A$6:$A$205,A1302)=1,B1302&lt;&gt;"",COUNTIFS($A$6:$A$2005,A1302,$B$6:$B$2005,B1302)=1,OR(F1302="Supported",F1302="Unsupported",F1302="Contradicted"),OR(G1302="Supported",G1302="Wrong citation",G1302="Missing citation"),OR(H1302="Yes",H1302="No"),I1302&lt;&gt;"",OR(F1302&lt;&gt;"Supported",E1302&lt;&gt;""),OR(G1302&lt;&gt;"Supported",AND(F1302="Supported",D1302&lt;&gt;"",E1302&lt;&gt;""))),"Yes","No"))</f>
        <v/>
      </c>
    </row>
    <row r="1303" spans="11:11">
      <c r="K1303" s="11">
        <f>IF(OR(A1303="",C1303=""),"",IF(AND(COUNTIF(Responses!$A$6:$A$205,A1303)=1,B1303&lt;&gt;"",COUNTIFS($A$6:$A$2005,A1303,$B$6:$B$2005,B1303)=1,OR(F1303="Supported",F1303="Unsupported",F1303="Contradicted"),OR(G1303="Supported",G1303="Wrong citation",G1303="Missing citation"),OR(H1303="Yes",H1303="No"),I1303&lt;&gt;"",OR(F1303&lt;&gt;"Supported",E1303&lt;&gt;""),OR(G1303&lt;&gt;"Supported",AND(F1303="Supported",D1303&lt;&gt;"",E1303&lt;&gt;""))),"Yes","No"))</f>
        <v/>
      </c>
    </row>
    <row r="1304" spans="11:11">
      <c r="K1304" s="11">
        <f>IF(OR(A1304="",C1304=""),"",IF(AND(COUNTIF(Responses!$A$6:$A$205,A1304)=1,B1304&lt;&gt;"",COUNTIFS($A$6:$A$2005,A1304,$B$6:$B$2005,B1304)=1,OR(F1304="Supported",F1304="Unsupported",F1304="Contradicted"),OR(G1304="Supported",G1304="Wrong citation",G1304="Missing citation"),OR(H1304="Yes",H1304="No"),I1304&lt;&gt;"",OR(F1304&lt;&gt;"Supported",E1304&lt;&gt;""),OR(G1304&lt;&gt;"Supported",AND(F1304="Supported",D1304&lt;&gt;"",E1304&lt;&gt;""))),"Yes","No"))</f>
        <v/>
      </c>
    </row>
    <row r="1305" spans="11:11">
      <c r="K1305" s="11">
        <f>IF(OR(A1305="",C1305=""),"",IF(AND(COUNTIF(Responses!$A$6:$A$205,A1305)=1,B1305&lt;&gt;"",COUNTIFS($A$6:$A$2005,A1305,$B$6:$B$2005,B1305)=1,OR(F1305="Supported",F1305="Unsupported",F1305="Contradicted"),OR(G1305="Supported",G1305="Wrong citation",G1305="Missing citation"),OR(H1305="Yes",H1305="No"),I1305&lt;&gt;"",OR(F1305&lt;&gt;"Supported",E1305&lt;&gt;""),OR(G1305&lt;&gt;"Supported",AND(F1305="Supported",D1305&lt;&gt;"",E1305&lt;&gt;""))),"Yes","No"))</f>
        <v/>
      </c>
    </row>
    <row r="1306" spans="11:11">
      <c r="K1306" s="11">
        <f>IF(OR(A1306="",C1306=""),"",IF(AND(COUNTIF(Responses!$A$6:$A$205,A1306)=1,B1306&lt;&gt;"",COUNTIFS($A$6:$A$2005,A1306,$B$6:$B$2005,B1306)=1,OR(F1306="Supported",F1306="Unsupported",F1306="Contradicted"),OR(G1306="Supported",G1306="Wrong citation",G1306="Missing citation"),OR(H1306="Yes",H1306="No"),I1306&lt;&gt;"",OR(F1306&lt;&gt;"Supported",E1306&lt;&gt;""),OR(G1306&lt;&gt;"Supported",AND(F1306="Supported",D1306&lt;&gt;"",E1306&lt;&gt;""))),"Yes","No"))</f>
        <v/>
      </c>
    </row>
    <row r="1307" spans="11:11">
      <c r="K1307" s="11">
        <f>IF(OR(A1307="",C1307=""),"",IF(AND(COUNTIF(Responses!$A$6:$A$205,A1307)=1,B1307&lt;&gt;"",COUNTIFS($A$6:$A$2005,A1307,$B$6:$B$2005,B1307)=1,OR(F1307="Supported",F1307="Unsupported",F1307="Contradicted"),OR(G1307="Supported",G1307="Wrong citation",G1307="Missing citation"),OR(H1307="Yes",H1307="No"),I1307&lt;&gt;"",OR(F1307&lt;&gt;"Supported",E1307&lt;&gt;""),OR(G1307&lt;&gt;"Supported",AND(F1307="Supported",D1307&lt;&gt;"",E1307&lt;&gt;""))),"Yes","No"))</f>
        <v/>
      </c>
    </row>
    <row r="1308" spans="11:11">
      <c r="K1308" s="11">
        <f>IF(OR(A1308="",C1308=""),"",IF(AND(COUNTIF(Responses!$A$6:$A$205,A1308)=1,B1308&lt;&gt;"",COUNTIFS($A$6:$A$2005,A1308,$B$6:$B$2005,B1308)=1,OR(F1308="Supported",F1308="Unsupported",F1308="Contradicted"),OR(G1308="Supported",G1308="Wrong citation",G1308="Missing citation"),OR(H1308="Yes",H1308="No"),I1308&lt;&gt;"",OR(F1308&lt;&gt;"Supported",E1308&lt;&gt;""),OR(G1308&lt;&gt;"Supported",AND(F1308="Supported",D1308&lt;&gt;"",E1308&lt;&gt;""))),"Yes","No"))</f>
        <v/>
      </c>
    </row>
    <row r="1309" spans="11:11">
      <c r="K1309" s="11">
        <f>IF(OR(A1309="",C1309=""),"",IF(AND(COUNTIF(Responses!$A$6:$A$205,A1309)=1,B1309&lt;&gt;"",COUNTIFS($A$6:$A$2005,A1309,$B$6:$B$2005,B1309)=1,OR(F1309="Supported",F1309="Unsupported",F1309="Contradicted"),OR(G1309="Supported",G1309="Wrong citation",G1309="Missing citation"),OR(H1309="Yes",H1309="No"),I1309&lt;&gt;"",OR(F1309&lt;&gt;"Supported",E1309&lt;&gt;""),OR(G1309&lt;&gt;"Supported",AND(F1309="Supported",D1309&lt;&gt;"",E1309&lt;&gt;""))),"Yes","No"))</f>
        <v/>
      </c>
    </row>
    <row r="1310" spans="11:11">
      <c r="K1310" s="11">
        <f>IF(OR(A1310="",C1310=""),"",IF(AND(COUNTIF(Responses!$A$6:$A$205,A1310)=1,B1310&lt;&gt;"",COUNTIFS($A$6:$A$2005,A1310,$B$6:$B$2005,B1310)=1,OR(F1310="Supported",F1310="Unsupported",F1310="Contradicted"),OR(G1310="Supported",G1310="Wrong citation",G1310="Missing citation"),OR(H1310="Yes",H1310="No"),I1310&lt;&gt;"",OR(F1310&lt;&gt;"Supported",E1310&lt;&gt;""),OR(G1310&lt;&gt;"Supported",AND(F1310="Supported",D1310&lt;&gt;"",E1310&lt;&gt;""))),"Yes","No"))</f>
        <v/>
      </c>
    </row>
    <row r="1311" spans="11:11">
      <c r="K1311" s="11">
        <f>IF(OR(A1311="",C1311=""),"",IF(AND(COUNTIF(Responses!$A$6:$A$205,A1311)=1,B1311&lt;&gt;"",COUNTIFS($A$6:$A$2005,A1311,$B$6:$B$2005,B1311)=1,OR(F1311="Supported",F1311="Unsupported",F1311="Contradicted"),OR(G1311="Supported",G1311="Wrong citation",G1311="Missing citation"),OR(H1311="Yes",H1311="No"),I1311&lt;&gt;"",OR(F1311&lt;&gt;"Supported",E1311&lt;&gt;""),OR(G1311&lt;&gt;"Supported",AND(F1311="Supported",D1311&lt;&gt;"",E1311&lt;&gt;""))),"Yes","No"))</f>
        <v/>
      </c>
    </row>
    <row r="1312" spans="11:11">
      <c r="K1312" s="11">
        <f>IF(OR(A1312="",C1312=""),"",IF(AND(COUNTIF(Responses!$A$6:$A$205,A1312)=1,B1312&lt;&gt;"",COUNTIFS($A$6:$A$2005,A1312,$B$6:$B$2005,B1312)=1,OR(F1312="Supported",F1312="Unsupported",F1312="Contradicted"),OR(G1312="Supported",G1312="Wrong citation",G1312="Missing citation"),OR(H1312="Yes",H1312="No"),I1312&lt;&gt;"",OR(F1312&lt;&gt;"Supported",E1312&lt;&gt;""),OR(G1312&lt;&gt;"Supported",AND(F1312="Supported",D1312&lt;&gt;"",E1312&lt;&gt;""))),"Yes","No"))</f>
        <v/>
      </c>
    </row>
    <row r="1313" spans="11:11">
      <c r="K1313" s="11">
        <f>IF(OR(A1313="",C1313=""),"",IF(AND(COUNTIF(Responses!$A$6:$A$205,A1313)=1,B1313&lt;&gt;"",COUNTIFS($A$6:$A$2005,A1313,$B$6:$B$2005,B1313)=1,OR(F1313="Supported",F1313="Unsupported",F1313="Contradicted"),OR(G1313="Supported",G1313="Wrong citation",G1313="Missing citation"),OR(H1313="Yes",H1313="No"),I1313&lt;&gt;"",OR(F1313&lt;&gt;"Supported",E1313&lt;&gt;""),OR(G1313&lt;&gt;"Supported",AND(F1313="Supported",D1313&lt;&gt;"",E1313&lt;&gt;""))),"Yes","No"))</f>
        <v/>
      </c>
    </row>
    <row r="1314" spans="11:11">
      <c r="K1314" s="11">
        <f>IF(OR(A1314="",C1314=""),"",IF(AND(COUNTIF(Responses!$A$6:$A$205,A1314)=1,B1314&lt;&gt;"",COUNTIFS($A$6:$A$2005,A1314,$B$6:$B$2005,B1314)=1,OR(F1314="Supported",F1314="Unsupported",F1314="Contradicted"),OR(G1314="Supported",G1314="Wrong citation",G1314="Missing citation"),OR(H1314="Yes",H1314="No"),I1314&lt;&gt;"",OR(F1314&lt;&gt;"Supported",E1314&lt;&gt;""),OR(G1314&lt;&gt;"Supported",AND(F1314="Supported",D1314&lt;&gt;"",E1314&lt;&gt;""))),"Yes","No"))</f>
        <v/>
      </c>
    </row>
    <row r="1315" spans="11:11">
      <c r="K1315" s="11">
        <f>IF(OR(A1315="",C1315=""),"",IF(AND(COUNTIF(Responses!$A$6:$A$205,A1315)=1,B1315&lt;&gt;"",COUNTIFS($A$6:$A$2005,A1315,$B$6:$B$2005,B1315)=1,OR(F1315="Supported",F1315="Unsupported",F1315="Contradicted"),OR(G1315="Supported",G1315="Wrong citation",G1315="Missing citation"),OR(H1315="Yes",H1315="No"),I1315&lt;&gt;"",OR(F1315&lt;&gt;"Supported",E1315&lt;&gt;""),OR(G1315&lt;&gt;"Supported",AND(F1315="Supported",D1315&lt;&gt;"",E1315&lt;&gt;""))),"Yes","No"))</f>
        <v/>
      </c>
    </row>
    <row r="1316" spans="11:11">
      <c r="K1316" s="11">
        <f>IF(OR(A1316="",C1316=""),"",IF(AND(COUNTIF(Responses!$A$6:$A$205,A1316)=1,B1316&lt;&gt;"",COUNTIFS($A$6:$A$2005,A1316,$B$6:$B$2005,B1316)=1,OR(F1316="Supported",F1316="Unsupported",F1316="Contradicted"),OR(G1316="Supported",G1316="Wrong citation",G1316="Missing citation"),OR(H1316="Yes",H1316="No"),I1316&lt;&gt;"",OR(F1316&lt;&gt;"Supported",E1316&lt;&gt;""),OR(G1316&lt;&gt;"Supported",AND(F1316="Supported",D1316&lt;&gt;"",E1316&lt;&gt;""))),"Yes","No"))</f>
        <v/>
      </c>
    </row>
    <row r="1317" spans="11:11">
      <c r="K1317" s="11">
        <f>IF(OR(A1317="",C1317=""),"",IF(AND(COUNTIF(Responses!$A$6:$A$205,A1317)=1,B1317&lt;&gt;"",COUNTIFS($A$6:$A$2005,A1317,$B$6:$B$2005,B1317)=1,OR(F1317="Supported",F1317="Unsupported",F1317="Contradicted"),OR(G1317="Supported",G1317="Wrong citation",G1317="Missing citation"),OR(H1317="Yes",H1317="No"),I1317&lt;&gt;"",OR(F1317&lt;&gt;"Supported",E1317&lt;&gt;""),OR(G1317&lt;&gt;"Supported",AND(F1317="Supported",D1317&lt;&gt;"",E1317&lt;&gt;""))),"Yes","No"))</f>
        <v/>
      </c>
    </row>
    <row r="1318" spans="11:11">
      <c r="K1318" s="11">
        <f>IF(OR(A1318="",C1318=""),"",IF(AND(COUNTIF(Responses!$A$6:$A$205,A1318)=1,B1318&lt;&gt;"",COUNTIFS($A$6:$A$2005,A1318,$B$6:$B$2005,B1318)=1,OR(F1318="Supported",F1318="Unsupported",F1318="Contradicted"),OR(G1318="Supported",G1318="Wrong citation",G1318="Missing citation"),OR(H1318="Yes",H1318="No"),I1318&lt;&gt;"",OR(F1318&lt;&gt;"Supported",E1318&lt;&gt;""),OR(G1318&lt;&gt;"Supported",AND(F1318="Supported",D1318&lt;&gt;"",E1318&lt;&gt;""))),"Yes","No"))</f>
        <v/>
      </c>
    </row>
    <row r="1319" spans="11:11">
      <c r="K1319" s="11">
        <f>IF(OR(A1319="",C1319=""),"",IF(AND(COUNTIF(Responses!$A$6:$A$205,A1319)=1,B1319&lt;&gt;"",COUNTIFS($A$6:$A$2005,A1319,$B$6:$B$2005,B1319)=1,OR(F1319="Supported",F1319="Unsupported",F1319="Contradicted"),OR(G1319="Supported",G1319="Wrong citation",G1319="Missing citation"),OR(H1319="Yes",H1319="No"),I1319&lt;&gt;"",OR(F1319&lt;&gt;"Supported",E1319&lt;&gt;""),OR(G1319&lt;&gt;"Supported",AND(F1319="Supported",D1319&lt;&gt;"",E1319&lt;&gt;""))),"Yes","No"))</f>
        <v/>
      </c>
    </row>
    <row r="1320" spans="11:11">
      <c r="K1320" s="11">
        <f>IF(OR(A1320="",C1320=""),"",IF(AND(COUNTIF(Responses!$A$6:$A$205,A1320)=1,B1320&lt;&gt;"",COUNTIFS($A$6:$A$2005,A1320,$B$6:$B$2005,B1320)=1,OR(F1320="Supported",F1320="Unsupported",F1320="Contradicted"),OR(G1320="Supported",G1320="Wrong citation",G1320="Missing citation"),OR(H1320="Yes",H1320="No"),I1320&lt;&gt;"",OR(F1320&lt;&gt;"Supported",E1320&lt;&gt;""),OR(G1320&lt;&gt;"Supported",AND(F1320="Supported",D1320&lt;&gt;"",E1320&lt;&gt;""))),"Yes","No"))</f>
        <v/>
      </c>
    </row>
    <row r="1321" spans="11:11">
      <c r="K1321" s="11">
        <f>IF(OR(A1321="",C1321=""),"",IF(AND(COUNTIF(Responses!$A$6:$A$205,A1321)=1,B1321&lt;&gt;"",COUNTIFS($A$6:$A$2005,A1321,$B$6:$B$2005,B1321)=1,OR(F1321="Supported",F1321="Unsupported",F1321="Contradicted"),OR(G1321="Supported",G1321="Wrong citation",G1321="Missing citation"),OR(H1321="Yes",H1321="No"),I1321&lt;&gt;"",OR(F1321&lt;&gt;"Supported",E1321&lt;&gt;""),OR(G1321&lt;&gt;"Supported",AND(F1321="Supported",D1321&lt;&gt;"",E1321&lt;&gt;""))),"Yes","No"))</f>
        <v/>
      </c>
    </row>
    <row r="1322" spans="11:11">
      <c r="K1322" s="11">
        <f>IF(OR(A1322="",C1322=""),"",IF(AND(COUNTIF(Responses!$A$6:$A$205,A1322)=1,B1322&lt;&gt;"",COUNTIFS($A$6:$A$2005,A1322,$B$6:$B$2005,B1322)=1,OR(F1322="Supported",F1322="Unsupported",F1322="Contradicted"),OR(G1322="Supported",G1322="Wrong citation",G1322="Missing citation"),OR(H1322="Yes",H1322="No"),I1322&lt;&gt;"",OR(F1322&lt;&gt;"Supported",E1322&lt;&gt;""),OR(G1322&lt;&gt;"Supported",AND(F1322="Supported",D1322&lt;&gt;"",E1322&lt;&gt;""))),"Yes","No"))</f>
        <v/>
      </c>
    </row>
    <row r="1323" spans="11:11">
      <c r="K1323" s="11">
        <f>IF(OR(A1323="",C1323=""),"",IF(AND(COUNTIF(Responses!$A$6:$A$205,A1323)=1,B1323&lt;&gt;"",COUNTIFS($A$6:$A$2005,A1323,$B$6:$B$2005,B1323)=1,OR(F1323="Supported",F1323="Unsupported",F1323="Contradicted"),OR(G1323="Supported",G1323="Wrong citation",G1323="Missing citation"),OR(H1323="Yes",H1323="No"),I1323&lt;&gt;"",OR(F1323&lt;&gt;"Supported",E1323&lt;&gt;""),OR(G1323&lt;&gt;"Supported",AND(F1323="Supported",D1323&lt;&gt;"",E1323&lt;&gt;""))),"Yes","No"))</f>
        <v/>
      </c>
    </row>
    <row r="1324" spans="11:11">
      <c r="K1324" s="11">
        <f>IF(OR(A1324="",C1324=""),"",IF(AND(COUNTIF(Responses!$A$6:$A$205,A1324)=1,B1324&lt;&gt;"",COUNTIFS($A$6:$A$2005,A1324,$B$6:$B$2005,B1324)=1,OR(F1324="Supported",F1324="Unsupported",F1324="Contradicted"),OR(G1324="Supported",G1324="Wrong citation",G1324="Missing citation"),OR(H1324="Yes",H1324="No"),I1324&lt;&gt;"",OR(F1324&lt;&gt;"Supported",E1324&lt;&gt;""),OR(G1324&lt;&gt;"Supported",AND(F1324="Supported",D1324&lt;&gt;"",E1324&lt;&gt;""))),"Yes","No"))</f>
        <v/>
      </c>
    </row>
    <row r="1325" spans="11:11">
      <c r="K1325" s="11">
        <f>IF(OR(A1325="",C1325=""),"",IF(AND(COUNTIF(Responses!$A$6:$A$205,A1325)=1,B1325&lt;&gt;"",COUNTIFS($A$6:$A$2005,A1325,$B$6:$B$2005,B1325)=1,OR(F1325="Supported",F1325="Unsupported",F1325="Contradicted"),OR(G1325="Supported",G1325="Wrong citation",G1325="Missing citation"),OR(H1325="Yes",H1325="No"),I1325&lt;&gt;"",OR(F1325&lt;&gt;"Supported",E1325&lt;&gt;""),OR(G1325&lt;&gt;"Supported",AND(F1325="Supported",D1325&lt;&gt;"",E1325&lt;&gt;""))),"Yes","No"))</f>
        <v/>
      </c>
    </row>
    <row r="1326" spans="11:11">
      <c r="K1326" s="11">
        <f>IF(OR(A1326="",C1326=""),"",IF(AND(COUNTIF(Responses!$A$6:$A$205,A1326)=1,B1326&lt;&gt;"",COUNTIFS($A$6:$A$2005,A1326,$B$6:$B$2005,B1326)=1,OR(F1326="Supported",F1326="Unsupported",F1326="Contradicted"),OR(G1326="Supported",G1326="Wrong citation",G1326="Missing citation"),OR(H1326="Yes",H1326="No"),I1326&lt;&gt;"",OR(F1326&lt;&gt;"Supported",E1326&lt;&gt;""),OR(G1326&lt;&gt;"Supported",AND(F1326="Supported",D1326&lt;&gt;"",E1326&lt;&gt;""))),"Yes","No"))</f>
        <v/>
      </c>
    </row>
    <row r="1327" spans="11:11">
      <c r="K1327" s="11">
        <f>IF(OR(A1327="",C1327=""),"",IF(AND(COUNTIF(Responses!$A$6:$A$205,A1327)=1,B1327&lt;&gt;"",COUNTIFS($A$6:$A$2005,A1327,$B$6:$B$2005,B1327)=1,OR(F1327="Supported",F1327="Unsupported",F1327="Contradicted"),OR(G1327="Supported",G1327="Wrong citation",G1327="Missing citation"),OR(H1327="Yes",H1327="No"),I1327&lt;&gt;"",OR(F1327&lt;&gt;"Supported",E1327&lt;&gt;""),OR(G1327&lt;&gt;"Supported",AND(F1327="Supported",D1327&lt;&gt;"",E1327&lt;&gt;""))),"Yes","No"))</f>
        <v/>
      </c>
    </row>
    <row r="1328" spans="11:11">
      <c r="K1328" s="11">
        <f>IF(OR(A1328="",C1328=""),"",IF(AND(COUNTIF(Responses!$A$6:$A$205,A1328)=1,B1328&lt;&gt;"",COUNTIFS($A$6:$A$2005,A1328,$B$6:$B$2005,B1328)=1,OR(F1328="Supported",F1328="Unsupported",F1328="Contradicted"),OR(G1328="Supported",G1328="Wrong citation",G1328="Missing citation"),OR(H1328="Yes",H1328="No"),I1328&lt;&gt;"",OR(F1328&lt;&gt;"Supported",E1328&lt;&gt;""),OR(G1328&lt;&gt;"Supported",AND(F1328="Supported",D1328&lt;&gt;"",E1328&lt;&gt;""))),"Yes","No"))</f>
        <v/>
      </c>
    </row>
    <row r="1329" spans="11:11">
      <c r="K1329" s="11">
        <f>IF(OR(A1329="",C1329=""),"",IF(AND(COUNTIF(Responses!$A$6:$A$205,A1329)=1,B1329&lt;&gt;"",COUNTIFS($A$6:$A$2005,A1329,$B$6:$B$2005,B1329)=1,OR(F1329="Supported",F1329="Unsupported",F1329="Contradicted"),OR(G1329="Supported",G1329="Wrong citation",G1329="Missing citation"),OR(H1329="Yes",H1329="No"),I1329&lt;&gt;"",OR(F1329&lt;&gt;"Supported",E1329&lt;&gt;""),OR(G1329&lt;&gt;"Supported",AND(F1329="Supported",D1329&lt;&gt;"",E1329&lt;&gt;""))),"Yes","No"))</f>
        <v/>
      </c>
    </row>
    <row r="1330" spans="11:11">
      <c r="K1330" s="11">
        <f>IF(OR(A1330="",C1330=""),"",IF(AND(COUNTIF(Responses!$A$6:$A$205,A1330)=1,B1330&lt;&gt;"",COUNTIFS($A$6:$A$2005,A1330,$B$6:$B$2005,B1330)=1,OR(F1330="Supported",F1330="Unsupported",F1330="Contradicted"),OR(G1330="Supported",G1330="Wrong citation",G1330="Missing citation"),OR(H1330="Yes",H1330="No"),I1330&lt;&gt;"",OR(F1330&lt;&gt;"Supported",E1330&lt;&gt;""),OR(G1330&lt;&gt;"Supported",AND(F1330="Supported",D1330&lt;&gt;"",E1330&lt;&gt;""))),"Yes","No"))</f>
        <v/>
      </c>
    </row>
    <row r="1331" spans="11:11">
      <c r="K1331" s="11">
        <f>IF(OR(A1331="",C1331=""),"",IF(AND(COUNTIF(Responses!$A$6:$A$205,A1331)=1,B1331&lt;&gt;"",COUNTIFS($A$6:$A$2005,A1331,$B$6:$B$2005,B1331)=1,OR(F1331="Supported",F1331="Unsupported",F1331="Contradicted"),OR(G1331="Supported",G1331="Wrong citation",G1331="Missing citation"),OR(H1331="Yes",H1331="No"),I1331&lt;&gt;"",OR(F1331&lt;&gt;"Supported",E1331&lt;&gt;""),OR(G1331&lt;&gt;"Supported",AND(F1331="Supported",D1331&lt;&gt;"",E1331&lt;&gt;""))),"Yes","No"))</f>
        <v/>
      </c>
    </row>
    <row r="1332" spans="11:11">
      <c r="K1332" s="11">
        <f>IF(OR(A1332="",C1332=""),"",IF(AND(COUNTIF(Responses!$A$6:$A$205,A1332)=1,B1332&lt;&gt;"",COUNTIFS($A$6:$A$2005,A1332,$B$6:$B$2005,B1332)=1,OR(F1332="Supported",F1332="Unsupported",F1332="Contradicted"),OR(G1332="Supported",G1332="Wrong citation",G1332="Missing citation"),OR(H1332="Yes",H1332="No"),I1332&lt;&gt;"",OR(F1332&lt;&gt;"Supported",E1332&lt;&gt;""),OR(G1332&lt;&gt;"Supported",AND(F1332="Supported",D1332&lt;&gt;"",E1332&lt;&gt;""))),"Yes","No"))</f>
        <v/>
      </c>
    </row>
    <row r="1333" spans="11:11">
      <c r="K1333" s="11">
        <f>IF(OR(A1333="",C1333=""),"",IF(AND(COUNTIF(Responses!$A$6:$A$205,A1333)=1,B1333&lt;&gt;"",COUNTIFS($A$6:$A$2005,A1333,$B$6:$B$2005,B1333)=1,OR(F1333="Supported",F1333="Unsupported",F1333="Contradicted"),OR(G1333="Supported",G1333="Wrong citation",G1333="Missing citation"),OR(H1333="Yes",H1333="No"),I1333&lt;&gt;"",OR(F1333&lt;&gt;"Supported",E1333&lt;&gt;""),OR(G1333&lt;&gt;"Supported",AND(F1333="Supported",D1333&lt;&gt;"",E1333&lt;&gt;""))),"Yes","No"))</f>
        <v/>
      </c>
    </row>
    <row r="1334" spans="11:11">
      <c r="K1334" s="11">
        <f>IF(OR(A1334="",C1334=""),"",IF(AND(COUNTIF(Responses!$A$6:$A$205,A1334)=1,B1334&lt;&gt;"",COUNTIFS($A$6:$A$2005,A1334,$B$6:$B$2005,B1334)=1,OR(F1334="Supported",F1334="Unsupported",F1334="Contradicted"),OR(G1334="Supported",G1334="Wrong citation",G1334="Missing citation"),OR(H1334="Yes",H1334="No"),I1334&lt;&gt;"",OR(F1334&lt;&gt;"Supported",E1334&lt;&gt;""),OR(G1334&lt;&gt;"Supported",AND(F1334="Supported",D1334&lt;&gt;"",E1334&lt;&gt;""))),"Yes","No"))</f>
        <v/>
      </c>
    </row>
    <row r="1335" spans="11:11">
      <c r="K1335" s="11">
        <f>IF(OR(A1335="",C1335=""),"",IF(AND(COUNTIF(Responses!$A$6:$A$205,A1335)=1,B1335&lt;&gt;"",COUNTIFS($A$6:$A$2005,A1335,$B$6:$B$2005,B1335)=1,OR(F1335="Supported",F1335="Unsupported",F1335="Contradicted"),OR(G1335="Supported",G1335="Wrong citation",G1335="Missing citation"),OR(H1335="Yes",H1335="No"),I1335&lt;&gt;"",OR(F1335&lt;&gt;"Supported",E1335&lt;&gt;""),OR(G1335&lt;&gt;"Supported",AND(F1335="Supported",D1335&lt;&gt;"",E1335&lt;&gt;""))),"Yes","No"))</f>
        <v/>
      </c>
    </row>
    <row r="1336" spans="11:11">
      <c r="K1336" s="11">
        <f>IF(OR(A1336="",C1336=""),"",IF(AND(COUNTIF(Responses!$A$6:$A$205,A1336)=1,B1336&lt;&gt;"",COUNTIFS($A$6:$A$2005,A1336,$B$6:$B$2005,B1336)=1,OR(F1336="Supported",F1336="Unsupported",F1336="Contradicted"),OR(G1336="Supported",G1336="Wrong citation",G1336="Missing citation"),OR(H1336="Yes",H1336="No"),I1336&lt;&gt;"",OR(F1336&lt;&gt;"Supported",E1336&lt;&gt;""),OR(G1336&lt;&gt;"Supported",AND(F1336="Supported",D1336&lt;&gt;"",E1336&lt;&gt;""))),"Yes","No"))</f>
        <v/>
      </c>
    </row>
    <row r="1337" spans="11:11">
      <c r="K1337" s="11">
        <f>IF(OR(A1337="",C1337=""),"",IF(AND(COUNTIF(Responses!$A$6:$A$205,A1337)=1,B1337&lt;&gt;"",COUNTIFS($A$6:$A$2005,A1337,$B$6:$B$2005,B1337)=1,OR(F1337="Supported",F1337="Unsupported",F1337="Contradicted"),OR(G1337="Supported",G1337="Wrong citation",G1337="Missing citation"),OR(H1337="Yes",H1337="No"),I1337&lt;&gt;"",OR(F1337&lt;&gt;"Supported",E1337&lt;&gt;""),OR(G1337&lt;&gt;"Supported",AND(F1337="Supported",D1337&lt;&gt;"",E1337&lt;&gt;""))),"Yes","No"))</f>
        <v/>
      </c>
    </row>
    <row r="1338" spans="11:11">
      <c r="K1338" s="11">
        <f>IF(OR(A1338="",C1338=""),"",IF(AND(COUNTIF(Responses!$A$6:$A$205,A1338)=1,B1338&lt;&gt;"",COUNTIFS($A$6:$A$2005,A1338,$B$6:$B$2005,B1338)=1,OR(F1338="Supported",F1338="Unsupported",F1338="Contradicted"),OR(G1338="Supported",G1338="Wrong citation",G1338="Missing citation"),OR(H1338="Yes",H1338="No"),I1338&lt;&gt;"",OR(F1338&lt;&gt;"Supported",E1338&lt;&gt;""),OR(G1338&lt;&gt;"Supported",AND(F1338="Supported",D1338&lt;&gt;"",E1338&lt;&gt;""))),"Yes","No"))</f>
        <v/>
      </c>
    </row>
    <row r="1339" spans="11:11">
      <c r="K1339" s="11">
        <f>IF(OR(A1339="",C1339=""),"",IF(AND(COUNTIF(Responses!$A$6:$A$205,A1339)=1,B1339&lt;&gt;"",COUNTIFS($A$6:$A$2005,A1339,$B$6:$B$2005,B1339)=1,OR(F1339="Supported",F1339="Unsupported",F1339="Contradicted"),OR(G1339="Supported",G1339="Wrong citation",G1339="Missing citation"),OR(H1339="Yes",H1339="No"),I1339&lt;&gt;"",OR(F1339&lt;&gt;"Supported",E1339&lt;&gt;""),OR(G1339&lt;&gt;"Supported",AND(F1339="Supported",D1339&lt;&gt;"",E1339&lt;&gt;""))),"Yes","No"))</f>
        <v/>
      </c>
    </row>
    <row r="1340" spans="11:11">
      <c r="K1340" s="11">
        <f>IF(OR(A1340="",C1340=""),"",IF(AND(COUNTIF(Responses!$A$6:$A$205,A1340)=1,B1340&lt;&gt;"",COUNTIFS($A$6:$A$2005,A1340,$B$6:$B$2005,B1340)=1,OR(F1340="Supported",F1340="Unsupported",F1340="Contradicted"),OR(G1340="Supported",G1340="Wrong citation",G1340="Missing citation"),OR(H1340="Yes",H1340="No"),I1340&lt;&gt;"",OR(F1340&lt;&gt;"Supported",E1340&lt;&gt;""),OR(G1340&lt;&gt;"Supported",AND(F1340="Supported",D1340&lt;&gt;"",E1340&lt;&gt;""))),"Yes","No"))</f>
        <v/>
      </c>
    </row>
    <row r="1341" spans="11:11">
      <c r="K1341" s="11">
        <f>IF(OR(A1341="",C1341=""),"",IF(AND(COUNTIF(Responses!$A$6:$A$205,A1341)=1,B1341&lt;&gt;"",COUNTIFS($A$6:$A$2005,A1341,$B$6:$B$2005,B1341)=1,OR(F1341="Supported",F1341="Unsupported",F1341="Contradicted"),OR(G1341="Supported",G1341="Wrong citation",G1341="Missing citation"),OR(H1341="Yes",H1341="No"),I1341&lt;&gt;"",OR(F1341&lt;&gt;"Supported",E1341&lt;&gt;""),OR(G1341&lt;&gt;"Supported",AND(F1341="Supported",D1341&lt;&gt;"",E1341&lt;&gt;""))),"Yes","No"))</f>
        <v/>
      </c>
    </row>
    <row r="1342" spans="11:11">
      <c r="K1342" s="11">
        <f>IF(OR(A1342="",C1342=""),"",IF(AND(COUNTIF(Responses!$A$6:$A$205,A1342)=1,B1342&lt;&gt;"",COUNTIFS($A$6:$A$2005,A1342,$B$6:$B$2005,B1342)=1,OR(F1342="Supported",F1342="Unsupported",F1342="Contradicted"),OR(G1342="Supported",G1342="Wrong citation",G1342="Missing citation"),OR(H1342="Yes",H1342="No"),I1342&lt;&gt;"",OR(F1342&lt;&gt;"Supported",E1342&lt;&gt;""),OR(G1342&lt;&gt;"Supported",AND(F1342="Supported",D1342&lt;&gt;"",E1342&lt;&gt;""))),"Yes","No"))</f>
        <v/>
      </c>
    </row>
    <row r="1343" spans="11:11">
      <c r="K1343" s="11">
        <f>IF(OR(A1343="",C1343=""),"",IF(AND(COUNTIF(Responses!$A$6:$A$205,A1343)=1,B1343&lt;&gt;"",COUNTIFS($A$6:$A$2005,A1343,$B$6:$B$2005,B1343)=1,OR(F1343="Supported",F1343="Unsupported",F1343="Contradicted"),OR(G1343="Supported",G1343="Wrong citation",G1343="Missing citation"),OR(H1343="Yes",H1343="No"),I1343&lt;&gt;"",OR(F1343&lt;&gt;"Supported",E1343&lt;&gt;""),OR(G1343&lt;&gt;"Supported",AND(F1343="Supported",D1343&lt;&gt;"",E1343&lt;&gt;""))),"Yes","No"))</f>
        <v/>
      </c>
    </row>
    <row r="1344" spans="11:11">
      <c r="K1344" s="11">
        <f>IF(OR(A1344="",C1344=""),"",IF(AND(COUNTIF(Responses!$A$6:$A$205,A1344)=1,B1344&lt;&gt;"",COUNTIFS($A$6:$A$2005,A1344,$B$6:$B$2005,B1344)=1,OR(F1344="Supported",F1344="Unsupported",F1344="Contradicted"),OR(G1344="Supported",G1344="Wrong citation",G1344="Missing citation"),OR(H1344="Yes",H1344="No"),I1344&lt;&gt;"",OR(F1344&lt;&gt;"Supported",E1344&lt;&gt;""),OR(G1344&lt;&gt;"Supported",AND(F1344="Supported",D1344&lt;&gt;"",E1344&lt;&gt;""))),"Yes","No"))</f>
        <v/>
      </c>
    </row>
    <row r="1345" spans="11:11">
      <c r="K1345" s="11">
        <f>IF(OR(A1345="",C1345=""),"",IF(AND(COUNTIF(Responses!$A$6:$A$205,A1345)=1,B1345&lt;&gt;"",COUNTIFS($A$6:$A$2005,A1345,$B$6:$B$2005,B1345)=1,OR(F1345="Supported",F1345="Unsupported",F1345="Contradicted"),OR(G1345="Supported",G1345="Wrong citation",G1345="Missing citation"),OR(H1345="Yes",H1345="No"),I1345&lt;&gt;"",OR(F1345&lt;&gt;"Supported",E1345&lt;&gt;""),OR(G1345&lt;&gt;"Supported",AND(F1345="Supported",D1345&lt;&gt;"",E1345&lt;&gt;""))),"Yes","No"))</f>
        <v/>
      </c>
    </row>
    <row r="1346" spans="11:11">
      <c r="K1346" s="11">
        <f>IF(OR(A1346="",C1346=""),"",IF(AND(COUNTIF(Responses!$A$6:$A$205,A1346)=1,B1346&lt;&gt;"",COUNTIFS($A$6:$A$2005,A1346,$B$6:$B$2005,B1346)=1,OR(F1346="Supported",F1346="Unsupported",F1346="Contradicted"),OR(G1346="Supported",G1346="Wrong citation",G1346="Missing citation"),OR(H1346="Yes",H1346="No"),I1346&lt;&gt;"",OR(F1346&lt;&gt;"Supported",E1346&lt;&gt;""),OR(G1346&lt;&gt;"Supported",AND(F1346="Supported",D1346&lt;&gt;"",E1346&lt;&gt;""))),"Yes","No"))</f>
        <v/>
      </c>
    </row>
    <row r="1347" spans="11:11">
      <c r="K1347" s="11">
        <f>IF(OR(A1347="",C1347=""),"",IF(AND(COUNTIF(Responses!$A$6:$A$205,A1347)=1,B1347&lt;&gt;"",COUNTIFS($A$6:$A$2005,A1347,$B$6:$B$2005,B1347)=1,OR(F1347="Supported",F1347="Unsupported",F1347="Contradicted"),OR(G1347="Supported",G1347="Wrong citation",G1347="Missing citation"),OR(H1347="Yes",H1347="No"),I1347&lt;&gt;"",OR(F1347&lt;&gt;"Supported",E1347&lt;&gt;""),OR(G1347&lt;&gt;"Supported",AND(F1347="Supported",D1347&lt;&gt;"",E1347&lt;&gt;""))),"Yes","No"))</f>
        <v/>
      </c>
    </row>
    <row r="1348" spans="11:11">
      <c r="K1348" s="11">
        <f>IF(OR(A1348="",C1348=""),"",IF(AND(COUNTIF(Responses!$A$6:$A$205,A1348)=1,B1348&lt;&gt;"",COUNTIFS($A$6:$A$2005,A1348,$B$6:$B$2005,B1348)=1,OR(F1348="Supported",F1348="Unsupported",F1348="Contradicted"),OR(G1348="Supported",G1348="Wrong citation",G1348="Missing citation"),OR(H1348="Yes",H1348="No"),I1348&lt;&gt;"",OR(F1348&lt;&gt;"Supported",E1348&lt;&gt;""),OR(G1348&lt;&gt;"Supported",AND(F1348="Supported",D1348&lt;&gt;"",E1348&lt;&gt;""))),"Yes","No"))</f>
        <v/>
      </c>
    </row>
    <row r="1349" spans="11:11">
      <c r="K1349" s="11">
        <f>IF(OR(A1349="",C1349=""),"",IF(AND(COUNTIF(Responses!$A$6:$A$205,A1349)=1,B1349&lt;&gt;"",COUNTIFS($A$6:$A$2005,A1349,$B$6:$B$2005,B1349)=1,OR(F1349="Supported",F1349="Unsupported",F1349="Contradicted"),OR(G1349="Supported",G1349="Wrong citation",G1349="Missing citation"),OR(H1349="Yes",H1349="No"),I1349&lt;&gt;"",OR(F1349&lt;&gt;"Supported",E1349&lt;&gt;""),OR(G1349&lt;&gt;"Supported",AND(F1349="Supported",D1349&lt;&gt;"",E1349&lt;&gt;""))),"Yes","No"))</f>
        <v/>
      </c>
    </row>
    <row r="1350" spans="11:11">
      <c r="K1350" s="11">
        <f>IF(OR(A1350="",C1350=""),"",IF(AND(COUNTIF(Responses!$A$6:$A$205,A1350)=1,B1350&lt;&gt;"",COUNTIFS($A$6:$A$2005,A1350,$B$6:$B$2005,B1350)=1,OR(F1350="Supported",F1350="Unsupported",F1350="Contradicted"),OR(G1350="Supported",G1350="Wrong citation",G1350="Missing citation"),OR(H1350="Yes",H1350="No"),I1350&lt;&gt;"",OR(F1350&lt;&gt;"Supported",E1350&lt;&gt;""),OR(G1350&lt;&gt;"Supported",AND(F1350="Supported",D1350&lt;&gt;"",E1350&lt;&gt;""))),"Yes","No"))</f>
        <v/>
      </c>
    </row>
    <row r="1351" spans="11:11">
      <c r="K1351" s="11">
        <f>IF(OR(A1351="",C1351=""),"",IF(AND(COUNTIF(Responses!$A$6:$A$205,A1351)=1,B1351&lt;&gt;"",COUNTIFS($A$6:$A$2005,A1351,$B$6:$B$2005,B1351)=1,OR(F1351="Supported",F1351="Unsupported",F1351="Contradicted"),OR(G1351="Supported",G1351="Wrong citation",G1351="Missing citation"),OR(H1351="Yes",H1351="No"),I1351&lt;&gt;"",OR(F1351&lt;&gt;"Supported",E1351&lt;&gt;""),OR(G1351&lt;&gt;"Supported",AND(F1351="Supported",D1351&lt;&gt;"",E1351&lt;&gt;""))),"Yes","No"))</f>
        <v/>
      </c>
    </row>
    <row r="1352" spans="11:11">
      <c r="K1352" s="11">
        <f>IF(OR(A1352="",C1352=""),"",IF(AND(COUNTIF(Responses!$A$6:$A$205,A1352)=1,B1352&lt;&gt;"",COUNTIFS($A$6:$A$2005,A1352,$B$6:$B$2005,B1352)=1,OR(F1352="Supported",F1352="Unsupported",F1352="Contradicted"),OR(G1352="Supported",G1352="Wrong citation",G1352="Missing citation"),OR(H1352="Yes",H1352="No"),I1352&lt;&gt;"",OR(F1352&lt;&gt;"Supported",E1352&lt;&gt;""),OR(G1352&lt;&gt;"Supported",AND(F1352="Supported",D1352&lt;&gt;"",E1352&lt;&gt;""))),"Yes","No"))</f>
        <v/>
      </c>
    </row>
    <row r="1353" spans="11:11">
      <c r="K1353" s="11">
        <f>IF(OR(A1353="",C1353=""),"",IF(AND(COUNTIF(Responses!$A$6:$A$205,A1353)=1,B1353&lt;&gt;"",COUNTIFS($A$6:$A$2005,A1353,$B$6:$B$2005,B1353)=1,OR(F1353="Supported",F1353="Unsupported",F1353="Contradicted"),OR(G1353="Supported",G1353="Wrong citation",G1353="Missing citation"),OR(H1353="Yes",H1353="No"),I1353&lt;&gt;"",OR(F1353&lt;&gt;"Supported",E1353&lt;&gt;""),OR(G1353&lt;&gt;"Supported",AND(F1353="Supported",D1353&lt;&gt;"",E1353&lt;&gt;""))),"Yes","No"))</f>
        <v/>
      </c>
    </row>
    <row r="1354" spans="11:11">
      <c r="K1354" s="11">
        <f>IF(OR(A1354="",C1354=""),"",IF(AND(COUNTIF(Responses!$A$6:$A$205,A1354)=1,B1354&lt;&gt;"",COUNTIFS($A$6:$A$2005,A1354,$B$6:$B$2005,B1354)=1,OR(F1354="Supported",F1354="Unsupported",F1354="Contradicted"),OR(G1354="Supported",G1354="Wrong citation",G1354="Missing citation"),OR(H1354="Yes",H1354="No"),I1354&lt;&gt;"",OR(F1354&lt;&gt;"Supported",E1354&lt;&gt;""),OR(G1354&lt;&gt;"Supported",AND(F1354="Supported",D1354&lt;&gt;"",E1354&lt;&gt;""))),"Yes","No"))</f>
        <v/>
      </c>
    </row>
    <row r="1355" spans="11:11">
      <c r="K1355" s="11">
        <f>IF(OR(A1355="",C1355=""),"",IF(AND(COUNTIF(Responses!$A$6:$A$205,A1355)=1,B1355&lt;&gt;"",COUNTIFS($A$6:$A$2005,A1355,$B$6:$B$2005,B1355)=1,OR(F1355="Supported",F1355="Unsupported",F1355="Contradicted"),OR(G1355="Supported",G1355="Wrong citation",G1355="Missing citation"),OR(H1355="Yes",H1355="No"),I1355&lt;&gt;"",OR(F1355&lt;&gt;"Supported",E1355&lt;&gt;""),OR(G1355&lt;&gt;"Supported",AND(F1355="Supported",D1355&lt;&gt;"",E1355&lt;&gt;""))),"Yes","No"))</f>
        <v/>
      </c>
    </row>
    <row r="1356" spans="11:11">
      <c r="K1356" s="11">
        <f>IF(OR(A1356="",C1356=""),"",IF(AND(COUNTIF(Responses!$A$6:$A$205,A1356)=1,B1356&lt;&gt;"",COUNTIFS($A$6:$A$2005,A1356,$B$6:$B$2005,B1356)=1,OR(F1356="Supported",F1356="Unsupported",F1356="Contradicted"),OR(G1356="Supported",G1356="Wrong citation",G1356="Missing citation"),OR(H1356="Yes",H1356="No"),I1356&lt;&gt;"",OR(F1356&lt;&gt;"Supported",E1356&lt;&gt;""),OR(G1356&lt;&gt;"Supported",AND(F1356="Supported",D1356&lt;&gt;"",E1356&lt;&gt;""))),"Yes","No"))</f>
        <v/>
      </c>
    </row>
    <row r="1357" spans="11:11">
      <c r="K1357" s="11">
        <f>IF(OR(A1357="",C1357=""),"",IF(AND(COUNTIF(Responses!$A$6:$A$205,A1357)=1,B1357&lt;&gt;"",COUNTIFS($A$6:$A$2005,A1357,$B$6:$B$2005,B1357)=1,OR(F1357="Supported",F1357="Unsupported",F1357="Contradicted"),OR(G1357="Supported",G1357="Wrong citation",G1357="Missing citation"),OR(H1357="Yes",H1357="No"),I1357&lt;&gt;"",OR(F1357&lt;&gt;"Supported",E1357&lt;&gt;""),OR(G1357&lt;&gt;"Supported",AND(F1357="Supported",D1357&lt;&gt;"",E1357&lt;&gt;""))),"Yes","No"))</f>
        <v/>
      </c>
    </row>
    <row r="1358" spans="11:11">
      <c r="K1358" s="11">
        <f>IF(OR(A1358="",C1358=""),"",IF(AND(COUNTIF(Responses!$A$6:$A$205,A1358)=1,B1358&lt;&gt;"",COUNTIFS($A$6:$A$2005,A1358,$B$6:$B$2005,B1358)=1,OR(F1358="Supported",F1358="Unsupported",F1358="Contradicted"),OR(G1358="Supported",G1358="Wrong citation",G1358="Missing citation"),OR(H1358="Yes",H1358="No"),I1358&lt;&gt;"",OR(F1358&lt;&gt;"Supported",E1358&lt;&gt;""),OR(G1358&lt;&gt;"Supported",AND(F1358="Supported",D1358&lt;&gt;"",E1358&lt;&gt;""))),"Yes","No"))</f>
        <v/>
      </c>
    </row>
    <row r="1359" spans="11:11">
      <c r="K1359" s="11">
        <f>IF(OR(A1359="",C1359=""),"",IF(AND(COUNTIF(Responses!$A$6:$A$205,A1359)=1,B1359&lt;&gt;"",COUNTIFS($A$6:$A$2005,A1359,$B$6:$B$2005,B1359)=1,OR(F1359="Supported",F1359="Unsupported",F1359="Contradicted"),OR(G1359="Supported",G1359="Wrong citation",G1359="Missing citation"),OR(H1359="Yes",H1359="No"),I1359&lt;&gt;"",OR(F1359&lt;&gt;"Supported",E1359&lt;&gt;""),OR(G1359&lt;&gt;"Supported",AND(F1359="Supported",D1359&lt;&gt;"",E1359&lt;&gt;""))),"Yes","No"))</f>
        <v/>
      </c>
    </row>
    <row r="1360" spans="11:11">
      <c r="K1360" s="11">
        <f>IF(OR(A1360="",C1360=""),"",IF(AND(COUNTIF(Responses!$A$6:$A$205,A1360)=1,B1360&lt;&gt;"",COUNTIFS($A$6:$A$2005,A1360,$B$6:$B$2005,B1360)=1,OR(F1360="Supported",F1360="Unsupported",F1360="Contradicted"),OR(G1360="Supported",G1360="Wrong citation",G1360="Missing citation"),OR(H1360="Yes",H1360="No"),I1360&lt;&gt;"",OR(F1360&lt;&gt;"Supported",E1360&lt;&gt;""),OR(G1360&lt;&gt;"Supported",AND(F1360="Supported",D1360&lt;&gt;"",E1360&lt;&gt;""))),"Yes","No"))</f>
        <v/>
      </c>
    </row>
    <row r="1361" spans="11:11">
      <c r="K1361" s="11">
        <f>IF(OR(A1361="",C1361=""),"",IF(AND(COUNTIF(Responses!$A$6:$A$205,A1361)=1,B1361&lt;&gt;"",COUNTIFS($A$6:$A$2005,A1361,$B$6:$B$2005,B1361)=1,OR(F1361="Supported",F1361="Unsupported",F1361="Contradicted"),OR(G1361="Supported",G1361="Wrong citation",G1361="Missing citation"),OR(H1361="Yes",H1361="No"),I1361&lt;&gt;"",OR(F1361&lt;&gt;"Supported",E1361&lt;&gt;""),OR(G1361&lt;&gt;"Supported",AND(F1361="Supported",D1361&lt;&gt;"",E1361&lt;&gt;""))),"Yes","No"))</f>
        <v/>
      </c>
    </row>
    <row r="1362" spans="11:11">
      <c r="K1362" s="11">
        <f>IF(OR(A1362="",C1362=""),"",IF(AND(COUNTIF(Responses!$A$6:$A$205,A1362)=1,B1362&lt;&gt;"",COUNTIFS($A$6:$A$2005,A1362,$B$6:$B$2005,B1362)=1,OR(F1362="Supported",F1362="Unsupported",F1362="Contradicted"),OR(G1362="Supported",G1362="Wrong citation",G1362="Missing citation"),OR(H1362="Yes",H1362="No"),I1362&lt;&gt;"",OR(F1362&lt;&gt;"Supported",E1362&lt;&gt;""),OR(G1362&lt;&gt;"Supported",AND(F1362="Supported",D1362&lt;&gt;"",E1362&lt;&gt;""))),"Yes","No"))</f>
        <v/>
      </c>
    </row>
    <row r="1363" spans="11:11">
      <c r="K1363" s="11">
        <f>IF(OR(A1363="",C1363=""),"",IF(AND(COUNTIF(Responses!$A$6:$A$205,A1363)=1,B1363&lt;&gt;"",COUNTIFS($A$6:$A$2005,A1363,$B$6:$B$2005,B1363)=1,OR(F1363="Supported",F1363="Unsupported",F1363="Contradicted"),OR(G1363="Supported",G1363="Wrong citation",G1363="Missing citation"),OR(H1363="Yes",H1363="No"),I1363&lt;&gt;"",OR(F1363&lt;&gt;"Supported",E1363&lt;&gt;""),OR(G1363&lt;&gt;"Supported",AND(F1363="Supported",D1363&lt;&gt;"",E1363&lt;&gt;""))),"Yes","No"))</f>
        <v/>
      </c>
    </row>
    <row r="1364" spans="11:11">
      <c r="K1364" s="11">
        <f>IF(OR(A1364="",C1364=""),"",IF(AND(COUNTIF(Responses!$A$6:$A$205,A1364)=1,B1364&lt;&gt;"",COUNTIFS($A$6:$A$2005,A1364,$B$6:$B$2005,B1364)=1,OR(F1364="Supported",F1364="Unsupported",F1364="Contradicted"),OR(G1364="Supported",G1364="Wrong citation",G1364="Missing citation"),OR(H1364="Yes",H1364="No"),I1364&lt;&gt;"",OR(F1364&lt;&gt;"Supported",E1364&lt;&gt;""),OR(G1364&lt;&gt;"Supported",AND(F1364="Supported",D1364&lt;&gt;"",E1364&lt;&gt;""))),"Yes","No"))</f>
        <v/>
      </c>
    </row>
    <row r="1365" spans="11:11">
      <c r="K1365" s="11">
        <f>IF(OR(A1365="",C1365=""),"",IF(AND(COUNTIF(Responses!$A$6:$A$205,A1365)=1,B1365&lt;&gt;"",COUNTIFS($A$6:$A$2005,A1365,$B$6:$B$2005,B1365)=1,OR(F1365="Supported",F1365="Unsupported",F1365="Contradicted"),OR(G1365="Supported",G1365="Wrong citation",G1365="Missing citation"),OR(H1365="Yes",H1365="No"),I1365&lt;&gt;"",OR(F1365&lt;&gt;"Supported",E1365&lt;&gt;""),OR(G1365&lt;&gt;"Supported",AND(F1365="Supported",D1365&lt;&gt;"",E1365&lt;&gt;""))),"Yes","No"))</f>
        <v/>
      </c>
    </row>
    <row r="1366" spans="11:11">
      <c r="K1366" s="11">
        <f>IF(OR(A1366="",C1366=""),"",IF(AND(COUNTIF(Responses!$A$6:$A$205,A1366)=1,B1366&lt;&gt;"",COUNTIFS($A$6:$A$2005,A1366,$B$6:$B$2005,B1366)=1,OR(F1366="Supported",F1366="Unsupported",F1366="Contradicted"),OR(G1366="Supported",G1366="Wrong citation",G1366="Missing citation"),OR(H1366="Yes",H1366="No"),I1366&lt;&gt;"",OR(F1366&lt;&gt;"Supported",E1366&lt;&gt;""),OR(G1366&lt;&gt;"Supported",AND(F1366="Supported",D1366&lt;&gt;"",E1366&lt;&gt;""))),"Yes","No"))</f>
        <v/>
      </c>
    </row>
    <row r="1367" spans="11:11">
      <c r="K1367" s="11">
        <f>IF(OR(A1367="",C1367=""),"",IF(AND(COUNTIF(Responses!$A$6:$A$205,A1367)=1,B1367&lt;&gt;"",COUNTIFS($A$6:$A$2005,A1367,$B$6:$B$2005,B1367)=1,OR(F1367="Supported",F1367="Unsupported",F1367="Contradicted"),OR(G1367="Supported",G1367="Wrong citation",G1367="Missing citation"),OR(H1367="Yes",H1367="No"),I1367&lt;&gt;"",OR(F1367&lt;&gt;"Supported",E1367&lt;&gt;""),OR(G1367&lt;&gt;"Supported",AND(F1367="Supported",D1367&lt;&gt;"",E1367&lt;&gt;""))),"Yes","No"))</f>
        <v/>
      </c>
    </row>
    <row r="1368" spans="11:11">
      <c r="K1368" s="11">
        <f>IF(OR(A1368="",C1368=""),"",IF(AND(COUNTIF(Responses!$A$6:$A$205,A1368)=1,B1368&lt;&gt;"",COUNTIFS($A$6:$A$2005,A1368,$B$6:$B$2005,B1368)=1,OR(F1368="Supported",F1368="Unsupported",F1368="Contradicted"),OR(G1368="Supported",G1368="Wrong citation",G1368="Missing citation"),OR(H1368="Yes",H1368="No"),I1368&lt;&gt;"",OR(F1368&lt;&gt;"Supported",E1368&lt;&gt;""),OR(G1368&lt;&gt;"Supported",AND(F1368="Supported",D1368&lt;&gt;"",E1368&lt;&gt;""))),"Yes","No"))</f>
        <v/>
      </c>
    </row>
    <row r="1369" spans="11:11">
      <c r="K1369" s="11">
        <f>IF(OR(A1369="",C1369=""),"",IF(AND(COUNTIF(Responses!$A$6:$A$205,A1369)=1,B1369&lt;&gt;"",COUNTIFS($A$6:$A$2005,A1369,$B$6:$B$2005,B1369)=1,OR(F1369="Supported",F1369="Unsupported",F1369="Contradicted"),OR(G1369="Supported",G1369="Wrong citation",G1369="Missing citation"),OR(H1369="Yes",H1369="No"),I1369&lt;&gt;"",OR(F1369&lt;&gt;"Supported",E1369&lt;&gt;""),OR(G1369&lt;&gt;"Supported",AND(F1369="Supported",D1369&lt;&gt;"",E1369&lt;&gt;""))),"Yes","No"))</f>
        <v/>
      </c>
    </row>
    <row r="1370" spans="11:11">
      <c r="K1370" s="11">
        <f>IF(OR(A1370="",C1370=""),"",IF(AND(COUNTIF(Responses!$A$6:$A$205,A1370)=1,B1370&lt;&gt;"",COUNTIFS($A$6:$A$2005,A1370,$B$6:$B$2005,B1370)=1,OR(F1370="Supported",F1370="Unsupported",F1370="Contradicted"),OR(G1370="Supported",G1370="Wrong citation",G1370="Missing citation"),OR(H1370="Yes",H1370="No"),I1370&lt;&gt;"",OR(F1370&lt;&gt;"Supported",E1370&lt;&gt;""),OR(G1370&lt;&gt;"Supported",AND(F1370="Supported",D1370&lt;&gt;"",E1370&lt;&gt;""))),"Yes","No"))</f>
        <v/>
      </c>
    </row>
    <row r="1371" spans="11:11">
      <c r="K1371" s="11">
        <f>IF(OR(A1371="",C1371=""),"",IF(AND(COUNTIF(Responses!$A$6:$A$205,A1371)=1,B1371&lt;&gt;"",COUNTIFS($A$6:$A$2005,A1371,$B$6:$B$2005,B1371)=1,OR(F1371="Supported",F1371="Unsupported",F1371="Contradicted"),OR(G1371="Supported",G1371="Wrong citation",G1371="Missing citation"),OR(H1371="Yes",H1371="No"),I1371&lt;&gt;"",OR(F1371&lt;&gt;"Supported",E1371&lt;&gt;""),OR(G1371&lt;&gt;"Supported",AND(F1371="Supported",D1371&lt;&gt;"",E1371&lt;&gt;""))),"Yes","No"))</f>
        <v/>
      </c>
    </row>
    <row r="1372" spans="11:11">
      <c r="K1372" s="11">
        <f>IF(OR(A1372="",C1372=""),"",IF(AND(COUNTIF(Responses!$A$6:$A$205,A1372)=1,B1372&lt;&gt;"",COUNTIFS($A$6:$A$2005,A1372,$B$6:$B$2005,B1372)=1,OR(F1372="Supported",F1372="Unsupported",F1372="Contradicted"),OR(G1372="Supported",G1372="Wrong citation",G1372="Missing citation"),OR(H1372="Yes",H1372="No"),I1372&lt;&gt;"",OR(F1372&lt;&gt;"Supported",E1372&lt;&gt;""),OR(G1372&lt;&gt;"Supported",AND(F1372="Supported",D1372&lt;&gt;"",E1372&lt;&gt;""))),"Yes","No"))</f>
        <v/>
      </c>
    </row>
    <row r="1373" spans="11:11">
      <c r="K1373" s="11">
        <f>IF(OR(A1373="",C1373=""),"",IF(AND(COUNTIF(Responses!$A$6:$A$205,A1373)=1,B1373&lt;&gt;"",COUNTIFS($A$6:$A$2005,A1373,$B$6:$B$2005,B1373)=1,OR(F1373="Supported",F1373="Unsupported",F1373="Contradicted"),OR(G1373="Supported",G1373="Wrong citation",G1373="Missing citation"),OR(H1373="Yes",H1373="No"),I1373&lt;&gt;"",OR(F1373&lt;&gt;"Supported",E1373&lt;&gt;""),OR(G1373&lt;&gt;"Supported",AND(F1373="Supported",D1373&lt;&gt;"",E1373&lt;&gt;""))),"Yes","No"))</f>
        <v/>
      </c>
    </row>
    <row r="1374" spans="11:11">
      <c r="K1374" s="11">
        <f>IF(OR(A1374="",C1374=""),"",IF(AND(COUNTIF(Responses!$A$6:$A$205,A1374)=1,B1374&lt;&gt;"",COUNTIFS($A$6:$A$2005,A1374,$B$6:$B$2005,B1374)=1,OR(F1374="Supported",F1374="Unsupported",F1374="Contradicted"),OR(G1374="Supported",G1374="Wrong citation",G1374="Missing citation"),OR(H1374="Yes",H1374="No"),I1374&lt;&gt;"",OR(F1374&lt;&gt;"Supported",E1374&lt;&gt;""),OR(G1374&lt;&gt;"Supported",AND(F1374="Supported",D1374&lt;&gt;"",E1374&lt;&gt;""))),"Yes","No"))</f>
        <v/>
      </c>
    </row>
    <row r="1375" spans="11:11">
      <c r="K1375" s="11">
        <f>IF(OR(A1375="",C1375=""),"",IF(AND(COUNTIF(Responses!$A$6:$A$205,A1375)=1,B1375&lt;&gt;"",COUNTIFS($A$6:$A$2005,A1375,$B$6:$B$2005,B1375)=1,OR(F1375="Supported",F1375="Unsupported",F1375="Contradicted"),OR(G1375="Supported",G1375="Wrong citation",G1375="Missing citation"),OR(H1375="Yes",H1375="No"),I1375&lt;&gt;"",OR(F1375&lt;&gt;"Supported",E1375&lt;&gt;""),OR(G1375&lt;&gt;"Supported",AND(F1375="Supported",D1375&lt;&gt;"",E1375&lt;&gt;""))),"Yes","No"))</f>
        <v/>
      </c>
    </row>
    <row r="1376" spans="11:11">
      <c r="K1376" s="11">
        <f>IF(OR(A1376="",C1376=""),"",IF(AND(COUNTIF(Responses!$A$6:$A$205,A1376)=1,B1376&lt;&gt;"",COUNTIFS($A$6:$A$2005,A1376,$B$6:$B$2005,B1376)=1,OR(F1376="Supported",F1376="Unsupported",F1376="Contradicted"),OR(G1376="Supported",G1376="Wrong citation",G1376="Missing citation"),OR(H1376="Yes",H1376="No"),I1376&lt;&gt;"",OR(F1376&lt;&gt;"Supported",E1376&lt;&gt;""),OR(G1376&lt;&gt;"Supported",AND(F1376="Supported",D1376&lt;&gt;"",E1376&lt;&gt;""))),"Yes","No"))</f>
        <v/>
      </c>
    </row>
    <row r="1377" spans="11:11">
      <c r="K1377" s="11">
        <f>IF(OR(A1377="",C1377=""),"",IF(AND(COUNTIF(Responses!$A$6:$A$205,A1377)=1,B1377&lt;&gt;"",COUNTIFS($A$6:$A$2005,A1377,$B$6:$B$2005,B1377)=1,OR(F1377="Supported",F1377="Unsupported",F1377="Contradicted"),OR(G1377="Supported",G1377="Wrong citation",G1377="Missing citation"),OR(H1377="Yes",H1377="No"),I1377&lt;&gt;"",OR(F1377&lt;&gt;"Supported",E1377&lt;&gt;""),OR(G1377&lt;&gt;"Supported",AND(F1377="Supported",D1377&lt;&gt;"",E1377&lt;&gt;""))),"Yes","No"))</f>
        <v/>
      </c>
    </row>
    <row r="1378" spans="11:11">
      <c r="K1378" s="11">
        <f>IF(OR(A1378="",C1378=""),"",IF(AND(COUNTIF(Responses!$A$6:$A$205,A1378)=1,B1378&lt;&gt;"",COUNTIFS($A$6:$A$2005,A1378,$B$6:$B$2005,B1378)=1,OR(F1378="Supported",F1378="Unsupported",F1378="Contradicted"),OR(G1378="Supported",G1378="Wrong citation",G1378="Missing citation"),OR(H1378="Yes",H1378="No"),I1378&lt;&gt;"",OR(F1378&lt;&gt;"Supported",E1378&lt;&gt;""),OR(G1378&lt;&gt;"Supported",AND(F1378="Supported",D1378&lt;&gt;"",E1378&lt;&gt;""))),"Yes","No"))</f>
        <v/>
      </c>
    </row>
    <row r="1379" spans="11:11">
      <c r="K1379" s="11">
        <f>IF(OR(A1379="",C1379=""),"",IF(AND(COUNTIF(Responses!$A$6:$A$205,A1379)=1,B1379&lt;&gt;"",COUNTIFS($A$6:$A$2005,A1379,$B$6:$B$2005,B1379)=1,OR(F1379="Supported",F1379="Unsupported",F1379="Contradicted"),OR(G1379="Supported",G1379="Wrong citation",G1379="Missing citation"),OR(H1379="Yes",H1379="No"),I1379&lt;&gt;"",OR(F1379&lt;&gt;"Supported",E1379&lt;&gt;""),OR(G1379&lt;&gt;"Supported",AND(F1379="Supported",D1379&lt;&gt;"",E1379&lt;&gt;""))),"Yes","No"))</f>
        <v/>
      </c>
    </row>
    <row r="1380" spans="11:11">
      <c r="K1380" s="11">
        <f>IF(OR(A1380="",C1380=""),"",IF(AND(COUNTIF(Responses!$A$6:$A$205,A1380)=1,B1380&lt;&gt;"",COUNTIFS($A$6:$A$2005,A1380,$B$6:$B$2005,B1380)=1,OR(F1380="Supported",F1380="Unsupported",F1380="Contradicted"),OR(G1380="Supported",G1380="Wrong citation",G1380="Missing citation"),OR(H1380="Yes",H1380="No"),I1380&lt;&gt;"",OR(F1380&lt;&gt;"Supported",E1380&lt;&gt;""),OR(G1380&lt;&gt;"Supported",AND(F1380="Supported",D1380&lt;&gt;"",E1380&lt;&gt;""))),"Yes","No"))</f>
        <v/>
      </c>
    </row>
    <row r="1381" spans="11:11">
      <c r="K1381" s="11">
        <f>IF(OR(A1381="",C1381=""),"",IF(AND(COUNTIF(Responses!$A$6:$A$205,A1381)=1,B1381&lt;&gt;"",COUNTIFS($A$6:$A$2005,A1381,$B$6:$B$2005,B1381)=1,OR(F1381="Supported",F1381="Unsupported",F1381="Contradicted"),OR(G1381="Supported",G1381="Wrong citation",G1381="Missing citation"),OR(H1381="Yes",H1381="No"),I1381&lt;&gt;"",OR(F1381&lt;&gt;"Supported",E1381&lt;&gt;""),OR(G1381&lt;&gt;"Supported",AND(F1381="Supported",D1381&lt;&gt;"",E1381&lt;&gt;""))),"Yes","No"))</f>
        <v/>
      </c>
    </row>
    <row r="1382" spans="11:11">
      <c r="K1382" s="11">
        <f>IF(OR(A1382="",C1382=""),"",IF(AND(COUNTIF(Responses!$A$6:$A$205,A1382)=1,B1382&lt;&gt;"",COUNTIFS($A$6:$A$2005,A1382,$B$6:$B$2005,B1382)=1,OR(F1382="Supported",F1382="Unsupported",F1382="Contradicted"),OR(G1382="Supported",G1382="Wrong citation",G1382="Missing citation"),OR(H1382="Yes",H1382="No"),I1382&lt;&gt;"",OR(F1382&lt;&gt;"Supported",E1382&lt;&gt;""),OR(G1382&lt;&gt;"Supported",AND(F1382="Supported",D1382&lt;&gt;"",E1382&lt;&gt;""))),"Yes","No"))</f>
        <v/>
      </c>
    </row>
    <row r="1383" spans="11:11">
      <c r="K1383" s="11">
        <f>IF(OR(A1383="",C1383=""),"",IF(AND(COUNTIF(Responses!$A$6:$A$205,A1383)=1,B1383&lt;&gt;"",COUNTIFS($A$6:$A$2005,A1383,$B$6:$B$2005,B1383)=1,OR(F1383="Supported",F1383="Unsupported",F1383="Contradicted"),OR(G1383="Supported",G1383="Wrong citation",G1383="Missing citation"),OR(H1383="Yes",H1383="No"),I1383&lt;&gt;"",OR(F1383&lt;&gt;"Supported",E1383&lt;&gt;""),OR(G1383&lt;&gt;"Supported",AND(F1383="Supported",D1383&lt;&gt;"",E1383&lt;&gt;""))),"Yes","No"))</f>
        <v/>
      </c>
    </row>
    <row r="1384" spans="11:11">
      <c r="K1384" s="11">
        <f>IF(OR(A1384="",C1384=""),"",IF(AND(COUNTIF(Responses!$A$6:$A$205,A1384)=1,B1384&lt;&gt;"",COUNTIFS($A$6:$A$2005,A1384,$B$6:$B$2005,B1384)=1,OR(F1384="Supported",F1384="Unsupported",F1384="Contradicted"),OR(G1384="Supported",G1384="Wrong citation",G1384="Missing citation"),OR(H1384="Yes",H1384="No"),I1384&lt;&gt;"",OR(F1384&lt;&gt;"Supported",E1384&lt;&gt;""),OR(G1384&lt;&gt;"Supported",AND(F1384="Supported",D1384&lt;&gt;"",E1384&lt;&gt;""))),"Yes","No"))</f>
        <v/>
      </c>
    </row>
    <row r="1385" spans="11:11">
      <c r="K1385" s="11">
        <f>IF(OR(A1385="",C1385=""),"",IF(AND(COUNTIF(Responses!$A$6:$A$205,A1385)=1,B1385&lt;&gt;"",COUNTIFS($A$6:$A$2005,A1385,$B$6:$B$2005,B1385)=1,OR(F1385="Supported",F1385="Unsupported",F1385="Contradicted"),OR(G1385="Supported",G1385="Wrong citation",G1385="Missing citation"),OR(H1385="Yes",H1385="No"),I1385&lt;&gt;"",OR(F1385&lt;&gt;"Supported",E1385&lt;&gt;""),OR(G1385&lt;&gt;"Supported",AND(F1385="Supported",D1385&lt;&gt;"",E1385&lt;&gt;""))),"Yes","No"))</f>
        <v/>
      </c>
    </row>
    <row r="1386" spans="11:11">
      <c r="K1386" s="11">
        <f>IF(OR(A1386="",C1386=""),"",IF(AND(COUNTIF(Responses!$A$6:$A$205,A1386)=1,B1386&lt;&gt;"",COUNTIFS($A$6:$A$2005,A1386,$B$6:$B$2005,B1386)=1,OR(F1386="Supported",F1386="Unsupported",F1386="Contradicted"),OR(G1386="Supported",G1386="Wrong citation",G1386="Missing citation"),OR(H1386="Yes",H1386="No"),I1386&lt;&gt;"",OR(F1386&lt;&gt;"Supported",E1386&lt;&gt;""),OR(G1386&lt;&gt;"Supported",AND(F1386="Supported",D1386&lt;&gt;"",E1386&lt;&gt;""))),"Yes","No"))</f>
        <v/>
      </c>
    </row>
    <row r="1387" spans="11:11">
      <c r="K1387" s="11">
        <f>IF(OR(A1387="",C1387=""),"",IF(AND(COUNTIF(Responses!$A$6:$A$205,A1387)=1,B1387&lt;&gt;"",COUNTIFS($A$6:$A$2005,A1387,$B$6:$B$2005,B1387)=1,OR(F1387="Supported",F1387="Unsupported",F1387="Contradicted"),OR(G1387="Supported",G1387="Wrong citation",G1387="Missing citation"),OR(H1387="Yes",H1387="No"),I1387&lt;&gt;"",OR(F1387&lt;&gt;"Supported",E1387&lt;&gt;""),OR(G1387&lt;&gt;"Supported",AND(F1387="Supported",D1387&lt;&gt;"",E1387&lt;&gt;""))),"Yes","No"))</f>
        <v/>
      </c>
    </row>
    <row r="1388" spans="11:11">
      <c r="K1388" s="11">
        <f>IF(OR(A1388="",C1388=""),"",IF(AND(COUNTIF(Responses!$A$6:$A$205,A1388)=1,B1388&lt;&gt;"",COUNTIFS($A$6:$A$2005,A1388,$B$6:$B$2005,B1388)=1,OR(F1388="Supported",F1388="Unsupported",F1388="Contradicted"),OR(G1388="Supported",G1388="Wrong citation",G1388="Missing citation"),OR(H1388="Yes",H1388="No"),I1388&lt;&gt;"",OR(F1388&lt;&gt;"Supported",E1388&lt;&gt;""),OR(G1388&lt;&gt;"Supported",AND(F1388="Supported",D1388&lt;&gt;"",E1388&lt;&gt;""))),"Yes","No"))</f>
        <v/>
      </c>
    </row>
    <row r="1389" spans="11:11">
      <c r="K1389" s="11">
        <f>IF(OR(A1389="",C1389=""),"",IF(AND(COUNTIF(Responses!$A$6:$A$205,A1389)=1,B1389&lt;&gt;"",COUNTIFS($A$6:$A$2005,A1389,$B$6:$B$2005,B1389)=1,OR(F1389="Supported",F1389="Unsupported",F1389="Contradicted"),OR(G1389="Supported",G1389="Wrong citation",G1389="Missing citation"),OR(H1389="Yes",H1389="No"),I1389&lt;&gt;"",OR(F1389&lt;&gt;"Supported",E1389&lt;&gt;""),OR(G1389&lt;&gt;"Supported",AND(F1389="Supported",D1389&lt;&gt;"",E1389&lt;&gt;""))),"Yes","No"))</f>
        <v/>
      </c>
    </row>
    <row r="1390" spans="11:11">
      <c r="K1390" s="11">
        <f>IF(OR(A1390="",C1390=""),"",IF(AND(COUNTIF(Responses!$A$6:$A$205,A1390)=1,B1390&lt;&gt;"",COUNTIFS($A$6:$A$2005,A1390,$B$6:$B$2005,B1390)=1,OR(F1390="Supported",F1390="Unsupported",F1390="Contradicted"),OR(G1390="Supported",G1390="Wrong citation",G1390="Missing citation"),OR(H1390="Yes",H1390="No"),I1390&lt;&gt;"",OR(F1390&lt;&gt;"Supported",E1390&lt;&gt;""),OR(G1390&lt;&gt;"Supported",AND(F1390="Supported",D1390&lt;&gt;"",E1390&lt;&gt;""))),"Yes","No"))</f>
        <v/>
      </c>
    </row>
    <row r="1391" spans="11:11">
      <c r="K1391" s="11">
        <f>IF(OR(A1391="",C1391=""),"",IF(AND(COUNTIF(Responses!$A$6:$A$205,A1391)=1,B1391&lt;&gt;"",COUNTIFS($A$6:$A$2005,A1391,$B$6:$B$2005,B1391)=1,OR(F1391="Supported",F1391="Unsupported",F1391="Contradicted"),OR(G1391="Supported",G1391="Wrong citation",G1391="Missing citation"),OR(H1391="Yes",H1391="No"),I1391&lt;&gt;"",OR(F1391&lt;&gt;"Supported",E1391&lt;&gt;""),OR(G1391&lt;&gt;"Supported",AND(F1391="Supported",D1391&lt;&gt;"",E1391&lt;&gt;""))),"Yes","No"))</f>
        <v/>
      </c>
    </row>
    <row r="1392" spans="11:11">
      <c r="K1392" s="11">
        <f>IF(OR(A1392="",C1392=""),"",IF(AND(COUNTIF(Responses!$A$6:$A$205,A1392)=1,B1392&lt;&gt;"",COUNTIFS($A$6:$A$2005,A1392,$B$6:$B$2005,B1392)=1,OR(F1392="Supported",F1392="Unsupported",F1392="Contradicted"),OR(G1392="Supported",G1392="Wrong citation",G1392="Missing citation"),OR(H1392="Yes",H1392="No"),I1392&lt;&gt;"",OR(F1392&lt;&gt;"Supported",E1392&lt;&gt;""),OR(G1392&lt;&gt;"Supported",AND(F1392="Supported",D1392&lt;&gt;"",E1392&lt;&gt;""))),"Yes","No"))</f>
        <v/>
      </c>
    </row>
    <row r="1393" spans="11:11">
      <c r="K1393" s="11">
        <f>IF(OR(A1393="",C1393=""),"",IF(AND(COUNTIF(Responses!$A$6:$A$205,A1393)=1,B1393&lt;&gt;"",COUNTIFS($A$6:$A$2005,A1393,$B$6:$B$2005,B1393)=1,OR(F1393="Supported",F1393="Unsupported",F1393="Contradicted"),OR(G1393="Supported",G1393="Wrong citation",G1393="Missing citation"),OR(H1393="Yes",H1393="No"),I1393&lt;&gt;"",OR(F1393&lt;&gt;"Supported",E1393&lt;&gt;""),OR(G1393&lt;&gt;"Supported",AND(F1393="Supported",D1393&lt;&gt;"",E1393&lt;&gt;""))),"Yes","No"))</f>
        <v/>
      </c>
    </row>
    <row r="1394" spans="11:11">
      <c r="K1394" s="11">
        <f>IF(OR(A1394="",C1394=""),"",IF(AND(COUNTIF(Responses!$A$6:$A$205,A1394)=1,B1394&lt;&gt;"",COUNTIFS($A$6:$A$2005,A1394,$B$6:$B$2005,B1394)=1,OR(F1394="Supported",F1394="Unsupported",F1394="Contradicted"),OR(G1394="Supported",G1394="Wrong citation",G1394="Missing citation"),OR(H1394="Yes",H1394="No"),I1394&lt;&gt;"",OR(F1394&lt;&gt;"Supported",E1394&lt;&gt;""),OR(G1394&lt;&gt;"Supported",AND(F1394="Supported",D1394&lt;&gt;"",E1394&lt;&gt;""))),"Yes","No"))</f>
        <v/>
      </c>
    </row>
    <row r="1395" spans="11:11">
      <c r="K1395" s="11">
        <f>IF(OR(A1395="",C1395=""),"",IF(AND(COUNTIF(Responses!$A$6:$A$205,A1395)=1,B1395&lt;&gt;"",COUNTIFS($A$6:$A$2005,A1395,$B$6:$B$2005,B1395)=1,OR(F1395="Supported",F1395="Unsupported",F1395="Contradicted"),OR(G1395="Supported",G1395="Wrong citation",G1395="Missing citation"),OR(H1395="Yes",H1395="No"),I1395&lt;&gt;"",OR(F1395&lt;&gt;"Supported",E1395&lt;&gt;""),OR(G1395&lt;&gt;"Supported",AND(F1395="Supported",D1395&lt;&gt;"",E1395&lt;&gt;""))),"Yes","No"))</f>
        <v/>
      </c>
    </row>
    <row r="1396" spans="11:11">
      <c r="K1396" s="11">
        <f>IF(OR(A1396="",C1396=""),"",IF(AND(COUNTIF(Responses!$A$6:$A$205,A1396)=1,B1396&lt;&gt;"",COUNTIFS($A$6:$A$2005,A1396,$B$6:$B$2005,B1396)=1,OR(F1396="Supported",F1396="Unsupported",F1396="Contradicted"),OR(G1396="Supported",G1396="Wrong citation",G1396="Missing citation"),OR(H1396="Yes",H1396="No"),I1396&lt;&gt;"",OR(F1396&lt;&gt;"Supported",E1396&lt;&gt;""),OR(G1396&lt;&gt;"Supported",AND(F1396="Supported",D1396&lt;&gt;"",E1396&lt;&gt;""))),"Yes","No"))</f>
        <v/>
      </c>
    </row>
    <row r="1397" spans="11:11">
      <c r="K1397" s="11">
        <f>IF(OR(A1397="",C1397=""),"",IF(AND(COUNTIF(Responses!$A$6:$A$205,A1397)=1,B1397&lt;&gt;"",COUNTIFS($A$6:$A$2005,A1397,$B$6:$B$2005,B1397)=1,OR(F1397="Supported",F1397="Unsupported",F1397="Contradicted"),OR(G1397="Supported",G1397="Wrong citation",G1397="Missing citation"),OR(H1397="Yes",H1397="No"),I1397&lt;&gt;"",OR(F1397&lt;&gt;"Supported",E1397&lt;&gt;""),OR(G1397&lt;&gt;"Supported",AND(F1397="Supported",D1397&lt;&gt;"",E1397&lt;&gt;""))),"Yes","No"))</f>
        <v/>
      </c>
    </row>
    <row r="1398" spans="11:11">
      <c r="K1398" s="11">
        <f>IF(OR(A1398="",C1398=""),"",IF(AND(COUNTIF(Responses!$A$6:$A$205,A1398)=1,B1398&lt;&gt;"",COUNTIFS($A$6:$A$2005,A1398,$B$6:$B$2005,B1398)=1,OR(F1398="Supported",F1398="Unsupported",F1398="Contradicted"),OR(G1398="Supported",G1398="Wrong citation",G1398="Missing citation"),OR(H1398="Yes",H1398="No"),I1398&lt;&gt;"",OR(F1398&lt;&gt;"Supported",E1398&lt;&gt;""),OR(G1398&lt;&gt;"Supported",AND(F1398="Supported",D1398&lt;&gt;"",E1398&lt;&gt;""))),"Yes","No"))</f>
        <v/>
      </c>
    </row>
    <row r="1399" spans="11:11">
      <c r="K1399" s="11">
        <f>IF(OR(A1399="",C1399=""),"",IF(AND(COUNTIF(Responses!$A$6:$A$205,A1399)=1,B1399&lt;&gt;"",COUNTIFS($A$6:$A$2005,A1399,$B$6:$B$2005,B1399)=1,OR(F1399="Supported",F1399="Unsupported",F1399="Contradicted"),OR(G1399="Supported",G1399="Wrong citation",G1399="Missing citation"),OR(H1399="Yes",H1399="No"),I1399&lt;&gt;"",OR(F1399&lt;&gt;"Supported",E1399&lt;&gt;""),OR(G1399&lt;&gt;"Supported",AND(F1399="Supported",D1399&lt;&gt;"",E1399&lt;&gt;""))),"Yes","No"))</f>
        <v/>
      </c>
    </row>
    <row r="1400" spans="11:11">
      <c r="K1400" s="11">
        <f>IF(OR(A1400="",C1400=""),"",IF(AND(COUNTIF(Responses!$A$6:$A$205,A1400)=1,B1400&lt;&gt;"",COUNTIFS($A$6:$A$2005,A1400,$B$6:$B$2005,B1400)=1,OR(F1400="Supported",F1400="Unsupported",F1400="Contradicted"),OR(G1400="Supported",G1400="Wrong citation",G1400="Missing citation"),OR(H1400="Yes",H1400="No"),I1400&lt;&gt;"",OR(F1400&lt;&gt;"Supported",E1400&lt;&gt;""),OR(G1400&lt;&gt;"Supported",AND(F1400="Supported",D1400&lt;&gt;"",E1400&lt;&gt;""))),"Yes","No"))</f>
        <v/>
      </c>
    </row>
    <row r="1401" spans="11:11">
      <c r="K1401" s="11">
        <f>IF(OR(A1401="",C1401=""),"",IF(AND(COUNTIF(Responses!$A$6:$A$205,A1401)=1,B1401&lt;&gt;"",COUNTIFS($A$6:$A$2005,A1401,$B$6:$B$2005,B1401)=1,OR(F1401="Supported",F1401="Unsupported",F1401="Contradicted"),OR(G1401="Supported",G1401="Wrong citation",G1401="Missing citation"),OR(H1401="Yes",H1401="No"),I1401&lt;&gt;"",OR(F1401&lt;&gt;"Supported",E1401&lt;&gt;""),OR(G1401&lt;&gt;"Supported",AND(F1401="Supported",D1401&lt;&gt;"",E1401&lt;&gt;""))),"Yes","No"))</f>
        <v/>
      </c>
    </row>
    <row r="1402" spans="11:11">
      <c r="K1402" s="11">
        <f>IF(OR(A1402="",C1402=""),"",IF(AND(COUNTIF(Responses!$A$6:$A$205,A1402)=1,B1402&lt;&gt;"",COUNTIFS($A$6:$A$2005,A1402,$B$6:$B$2005,B1402)=1,OR(F1402="Supported",F1402="Unsupported",F1402="Contradicted"),OR(G1402="Supported",G1402="Wrong citation",G1402="Missing citation"),OR(H1402="Yes",H1402="No"),I1402&lt;&gt;"",OR(F1402&lt;&gt;"Supported",E1402&lt;&gt;""),OR(G1402&lt;&gt;"Supported",AND(F1402="Supported",D1402&lt;&gt;"",E1402&lt;&gt;""))),"Yes","No"))</f>
        <v/>
      </c>
    </row>
    <row r="1403" spans="11:11">
      <c r="K1403" s="11">
        <f>IF(OR(A1403="",C1403=""),"",IF(AND(COUNTIF(Responses!$A$6:$A$205,A1403)=1,B1403&lt;&gt;"",COUNTIFS($A$6:$A$2005,A1403,$B$6:$B$2005,B1403)=1,OR(F1403="Supported",F1403="Unsupported",F1403="Contradicted"),OR(G1403="Supported",G1403="Wrong citation",G1403="Missing citation"),OR(H1403="Yes",H1403="No"),I1403&lt;&gt;"",OR(F1403&lt;&gt;"Supported",E1403&lt;&gt;""),OR(G1403&lt;&gt;"Supported",AND(F1403="Supported",D1403&lt;&gt;"",E1403&lt;&gt;""))),"Yes","No"))</f>
        <v/>
      </c>
    </row>
    <row r="1404" spans="11:11">
      <c r="K1404" s="11">
        <f>IF(OR(A1404="",C1404=""),"",IF(AND(COUNTIF(Responses!$A$6:$A$205,A1404)=1,B1404&lt;&gt;"",COUNTIFS($A$6:$A$2005,A1404,$B$6:$B$2005,B1404)=1,OR(F1404="Supported",F1404="Unsupported",F1404="Contradicted"),OR(G1404="Supported",G1404="Wrong citation",G1404="Missing citation"),OR(H1404="Yes",H1404="No"),I1404&lt;&gt;"",OR(F1404&lt;&gt;"Supported",E1404&lt;&gt;""),OR(G1404&lt;&gt;"Supported",AND(F1404="Supported",D1404&lt;&gt;"",E1404&lt;&gt;""))),"Yes","No"))</f>
        <v/>
      </c>
    </row>
    <row r="1405" spans="11:11">
      <c r="K1405" s="11">
        <f>IF(OR(A1405="",C1405=""),"",IF(AND(COUNTIF(Responses!$A$6:$A$205,A1405)=1,B1405&lt;&gt;"",COUNTIFS($A$6:$A$2005,A1405,$B$6:$B$2005,B1405)=1,OR(F1405="Supported",F1405="Unsupported",F1405="Contradicted"),OR(G1405="Supported",G1405="Wrong citation",G1405="Missing citation"),OR(H1405="Yes",H1405="No"),I1405&lt;&gt;"",OR(F1405&lt;&gt;"Supported",E1405&lt;&gt;""),OR(G1405&lt;&gt;"Supported",AND(F1405="Supported",D1405&lt;&gt;"",E1405&lt;&gt;""))),"Yes","No"))</f>
        <v/>
      </c>
    </row>
    <row r="1406" spans="11:11">
      <c r="K1406" s="11">
        <f>IF(OR(A1406="",C1406=""),"",IF(AND(COUNTIF(Responses!$A$6:$A$205,A1406)=1,B1406&lt;&gt;"",COUNTIFS($A$6:$A$2005,A1406,$B$6:$B$2005,B1406)=1,OR(F1406="Supported",F1406="Unsupported",F1406="Contradicted"),OR(G1406="Supported",G1406="Wrong citation",G1406="Missing citation"),OR(H1406="Yes",H1406="No"),I1406&lt;&gt;"",OR(F1406&lt;&gt;"Supported",E1406&lt;&gt;""),OR(G1406&lt;&gt;"Supported",AND(F1406="Supported",D1406&lt;&gt;"",E1406&lt;&gt;""))),"Yes","No"))</f>
        <v/>
      </c>
    </row>
    <row r="1407" spans="11:11">
      <c r="K1407" s="11">
        <f>IF(OR(A1407="",C1407=""),"",IF(AND(COUNTIF(Responses!$A$6:$A$205,A1407)=1,B1407&lt;&gt;"",COUNTIFS($A$6:$A$2005,A1407,$B$6:$B$2005,B1407)=1,OR(F1407="Supported",F1407="Unsupported",F1407="Contradicted"),OR(G1407="Supported",G1407="Wrong citation",G1407="Missing citation"),OR(H1407="Yes",H1407="No"),I1407&lt;&gt;"",OR(F1407&lt;&gt;"Supported",E1407&lt;&gt;""),OR(G1407&lt;&gt;"Supported",AND(F1407="Supported",D1407&lt;&gt;"",E1407&lt;&gt;""))),"Yes","No"))</f>
        <v/>
      </c>
    </row>
    <row r="1408" spans="11:11">
      <c r="K1408" s="11">
        <f>IF(OR(A1408="",C1408=""),"",IF(AND(COUNTIF(Responses!$A$6:$A$205,A1408)=1,B1408&lt;&gt;"",COUNTIFS($A$6:$A$2005,A1408,$B$6:$B$2005,B1408)=1,OR(F1408="Supported",F1408="Unsupported",F1408="Contradicted"),OR(G1408="Supported",G1408="Wrong citation",G1408="Missing citation"),OR(H1408="Yes",H1408="No"),I1408&lt;&gt;"",OR(F1408&lt;&gt;"Supported",E1408&lt;&gt;""),OR(G1408&lt;&gt;"Supported",AND(F1408="Supported",D1408&lt;&gt;"",E1408&lt;&gt;""))),"Yes","No"))</f>
        <v/>
      </c>
    </row>
    <row r="1409" spans="11:11">
      <c r="K1409" s="11">
        <f>IF(OR(A1409="",C1409=""),"",IF(AND(COUNTIF(Responses!$A$6:$A$205,A1409)=1,B1409&lt;&gt;"",COUNTIFS($A$6:$A$2005,A1409,$B$6:$B$2005,B1409)=1,OR(F1409="Supported",F1409="Unsupported",F1409="Contradicted"),OR(G1409="Supported",G1409="Wrong citation",G1409="Missing citation"),OR(H1409="Yes",H1409="No"),I1409&lt;&gt;"",OR(F1409&lt;&gt;"Supported",E1409&lt;&gt;""),OR(G1409&lt;&gt;"Supported",AND(F1409="Supported",D1409&lt;&gt;"",E1409&lt;&gt;""))),"Yes","No"))</f>
        <v/>
      </c>
    </row>
    <row r="1410" spans="11:11">
      <c r="K1410" s="11">
        <f>IF(OR(A1410="",C1410=""),"",IF(AND(COUNTIF(Responses!$A$6:$A$205,A1410)=1,B1410&lt;&gt;"",COUNTIFS($A$6:$A$2005,A1410,$B$6:$B$2005,B1410)=1,OR(F1410="Supported",F1410="Unsupported",F1410="Contradicted"),OR(G1410="Supported",G1410="Wrong citation",G1410="Missing citation"),OR(H1410="Yes",H1410="No"),I1410&lt;&gt;"",OR(F1410&lt;&gt;"Supported",E1410&lt;&gt;""),OR(G1410&lt;&gt;"Supported",AND(F1410="Supported",D1410&lt;&gt;"",E1410&lt;&gt;""))),"Yes","No"))</f>
        <v/>
      </c>
    </row>
    <row r="1411" spans="11:11">
      <c r="K1411" s="11">
        <f>IF(OR(A1411="",C1411=""),"",IF(AND(COUNTIF(Responses!$A$6:$A$205,A1411)=1,B1411&lt;&gt;"",COUNTIFS($A$6:$A$2005,A1411,$B$6:$B$2005,B1411)=1,OR(F1411="Supported",F1411="Unsupported",F1411="Contradicted"),OR(G1411="Supported",G1411="Wrong citation",G1411="Missing citation"),OR(H1411="Yes",H1411="No"),I1411&lt;&gt;"",OR(F1411&lt;&gt;"Supported",E1411&lt;&gt;""),OR(G1411&lt;&gt;"Supported",AND(F1411="Supported",D1411&lt;&gt;"",E1411&lt;&gt;""))),"Yes","No"))</f>
        <v/>
      </c>
    </row>
    <row r="1412" spans="11:11">
      <c r="K1412" s="11">
        <f>IF(OR(A1412="",C1412=""),"",IF(AND(COUNTIF(Responses!$A$6:$A$205,A1412)=1,B1412&lt;&gt;"",COUNTIFS($A$6:$A$2005,A1412,$B$6:$B$2005,B1412)=1,OR(F1412="Supported",F1412="Unsupported",F1412="Contradicted"),OR(G1412="Supported",G1412="Wrong citation",G1412="Missing citation"),OR(H1412="Yes",H1412="No"),I1412&lt;&gt;"",OR(F1412&lt;&gt;"Supported",E1412&lt;&gt;""),OR(G1412&lt;&gt;"Supported",AND(F1412="Supported",D1412&lt;&gt;"",E1412&lt;&gt;""))),"Yes","No"))</f>
        <v/>
      </c>
    </row>
    <row r="1413" spans="11:11">
      <c r="K1413" s="11">
        <f>IF(OR(A1413="",C1413=""),"",IF(AND(COUNTIF(Responses!$A$6:$A$205,A1413)=1,B1413&lt;&gt;"",COUNTIFS($A$6:$A$2005,A1413,$B$6:$B$2005,B1413)=1,OR(F1413="Supported",F1413="Unsupported",F1413="Contradicted"),OR(G1413="Supported",G1413="Wrong citation",G1413="Missing citation"),OR(H1413="Yes",H1413="No"),I1413&lt;&gt;"",OR(F1413&lt;&gt;"Supported",E1413&lt;&gt;""),OR(G1413&lt;&gt;"Supported",AND(F1413="Supported",D1413&lt;&gt;"",E1413&lt;&gt;""))),"Yes","No"))</f>
        <v/>
      </c>
    </row>
    <row r="1414" spans="11:11">
      <c r="K1414" s="11">
        <f>IF(OR(A1414="",C1414=""),"",IF(AND(COUNTIF(Responses!$A$6:$A$205,A1414)=1,B1414&lt;&gt;"",COUNTIFS($A$6:$A$2005,A1414,$B$6:$B$2005,B1414)=1,OR(F1414="Supported",F1414="Unsupported",F1414="Contradicted"),OR(G1414="Supported",G1414="Wrong citation",G1414="Missing citation"),OR(H1414="Yes",H1414="No"),I1414&lt;&gt;"",OR(F1414&lt;&gt;"Supported",E1414&lt;&gt;""),OR(G1414&lt;&gt;"Supported",AND(F1414="Supported",D1414&lt;&gt;"",E1414&lt;&gt;""))),"Yes","No"))</f>
        <v/>
      </c>
    </row>
    <row r="1415" spans="11:11">
      <c r="K1415" s="11">
        <f>IF(OR(A1415="",C1415=""),"",IF(AND(COUNTIF(Responses!$A$6:$A$205,A1415)=1,B1415&lt;&gt;"",COUNTIFS($A$6:$A$2005,A1415,$B$6:$B$2005,B1415)=1,OR(F1415="Supported",F1415="Unsupported",F1415="Contradicted"),OR(G1415="Supported",G1415="Wrong citation",G1415="Missing citation"),OR(H1415="Yes",H1415="No"),I1415&lt;&gt;"",OR(F1415&lt;&gt;"Supported",E1415&lt;&gt;""),OR(G1415&lt;&gt;"Supported",AND(F1415="Supported",D1415&lt;&gt;"",E1415&lt;&gt;""))),"Yes","No"))</f>
        <v/>
      </c>
    </row>
    <row r="1416" spans="11:11">
      <c r="K1416" s="11">
        <f>IF(OR(A1416="",C1416=""),"",IF(AND(COUNTIF(Responses!$A$6:$A$205,A1416)=1,B1416&lt;&gt;"",COUNTIFS($A$6:$A$2005,A1416,$B$6:$B$2005,B1416)=1,OR(F1416="Supported",F1416="Unsupported",F1416="Contradicted"),OR(G1416="Supported",G1416="Wrong citation",G1416="Missing citation"),OR(H1416="Yes",H1416="No"),I1416&lt;&gt;"",OR(F1416&lt;&gt;"Supported",E1416&lt;&gt;""),OR(G1416&lt;&gt;"Supported",AND(F1416="Supported",D1416&lt;&gt;"",E1416&lt;&gt;""))),"Yes","No"))</f>
        <v/>
      </c>
    </row>
    <row r="1417" spans="11:11">
      <c r="K1417" s="11">
        <f>IF(OR(A1417="",C1417=""),"",IF(AND(COUNTIF(Responses!$A$6:$A$205,A1417)=1,B1417&lt;&gt;"",COUNTIFS($A$6:$A$2005,A1417,$B$6:$B$2005,B1417)=1,OR(F1417="Supported",F1417="Unsupported",F1417="Contradicted"),OR(G1417="Supported",G1417="Wrong citation",G1417="Missing citation"),OR(H1417="Yes",H1417="No"),I1417&lt;&gt;"",OR(F1417&lt;&gt;"Supported",E1417&lt;&gt;""),OR(G1417&lt;&gt;"Supported",AND(F1417="Supported",D1417&lt;&gt;"",E1417&lt;&gt;""))),"Yes","No"))</f>
        <v/>
      </c>
    </row>
    <row r="1418" spans="11:11">
      <c r="K1418" s="11">
        <f>IF(OR(A1418="",C1418=""),"",IF(AND(COUNTIF(Responses!$A$6:$A$205,A1418)=1,B1418&lt;&gt;"",COUNTIFS($A$6:$A$2005,A1418,$B$6:$B$2005,B1418)=1,OR(F1418="Supported",F1418="Unsupported",F1418="Contradicted"),OR(G1418="Supported",G1418="Wrong citation",G1418="Missing citation"),OR(H1418="Yes",H1418="No"),I1418&lt;&gt;"",OR(F1418&lt;&gt;"Supported",E1418&lt;&gt;""),OR(G1418&lt;&gt;"Supported",AND(F1418="Supported",D1418&lt;&gt;"",E1418&lt;&gt;""))),"Yes","No"))</f>
        <v/>
      </c>
    </row>
    <row r="1419" spans="11:11">
      <c r="K1419" s="11">
        <f>IF(OR(A1419="",C1419=""),"",IF(AND(COUNTIF(Responses!$A$6:$A$205,A1419)=1,B1419&lt;&gt;"",COUNTIFS($A$6:$A$2005,A1419,$B$6:$B$2005,B1419)=1,OR(F1419="Supported",F1419="Unsupported",F1419="Contradicted"),OR(G1419="Supported",G1419="Wrong citation",G1419="Missing citation"),OR(H1419="Yes",H1419="No"),I1419&lt;&gt;"",OR(F1419&lt;&gt;"Supported",E1419&lt;&gt;""),OR(G1419&lt;&gt;"Supported",AND(F1419="Supported",D1419&lt;&gt;"",E1419&lt;&gt;""))),"Yes","No"))</f>
        <v/>
      </c>
    </row>
    <row r="1420" spans="11:11">
      <c r="K1420" s="11">
        <f>IF(OR(A1420="",C1420=""),"",IF(AND(COUNTIF(Responses!$A$6:$A$205,A1420)=1,B1420&lt;&gt;"",COUNTIFS($A$6:$A$2005,A1420,$B$6:$B$2005,B1420)=1,OR(F1420="Supported",F1420="Unsupported",F1420="Contradicted"),OR(G1420="Supported",G1420="Wrong citation",G1420="Missing citation"),OR(H1420="Yes",H1420="No"),I1420&lt;&gt;"",OR(F1420&lt;&gt;"Supported",E1420&lt;&gt;""),OR(G1420&lt;&gt;"Supported",AND(F1420="Supported",D1420&lt;&gt;"",E1420&lt;&gt;""))),"Yes","No"))</f>
        <v/>
      </c>
    </row>
    <row r="1421" spans="11:11">
      <c r="K1421" s="11">
        <f>IF(OR(A1421="",C1421=""),"",IF(AND(COUNTIF(Responses!$A$6:$A$205,A1421)=1,B1421&lt;&gt;"",COUNTIFS($A$6:$A$2005,A1421,$B$6:$B$2005,B1421)=1,OR(F1421="Supported",F1421="Unsupported",F1421="Contradicted"),OR(G1421="Supported",G1421="Wrong citation",G1421="Missing citation"),OR(H1421="Yes",H1421="No"),I1421&lt;&gt;"",OR(F1421&lt;&gt;"Supported",E1421&lt;&gt;""),OR(G1421&lt;&gt;"Supported",AND(F1421="Supported",D1421&lt;&gt;"",E1421&lt;&gt;""))),"Yes","No"))</f>
        <v/>
      </c>
    </row>
    <row r="1422" spans="11:11">
      <c r="K1422" s="11">
        <f>IF(OR(A1422="",C1422=""),"",IF(AND(COUNTIF(Responses!$A$6:$A$205,A1422)=1,B1422&lt;&gt;"",COUNTIFS($A$6:$A$2005,A1422,$B$6:$B$2005,B1422)=1,OR(F1422="Supported",F1422="Unsupported",F1422="Contradicted"),OR(G1422="Supported",G1422="Wrong citation",G1422="Missing citation"),OR(H1422="Yes",H1422="No"),I1422&lt;&gt;"",OR(F1422&lt;&gt;"Supported",E1422&lt;&gt;""),OR(G1422&lt;&gt;"Supported",AND(F1422="Supported",D1422&lt;&gt;"",E1422&lt;&gt;""))),"Yes","No"))</f>
        <v/>
      </c>
    </row>
    <row r="1423" spans="11:11">
      <c r="K1423" s="11">
        <f>IF(OR(A1423="",C1423=""),"",IF(AND(COUNTIF(Responses!$A$6:$A$205,A1423)=1,B1423&lt;&gt;"",COUNTIFS($A$6:$A$2005,A1423,$B$6:$B$2005,B1423)=1,OR(F1423="Supported",F1423="Unsupported",F1423="Contradicted"),OR(G1423="Supported",G1423="Wrong citation",G1423="Missing citation"),OR(H1423="Yes",H1423="No"),I1423&lt;&gt;"",OR(F1423&lt;&gt;"Supported",E1423&lt;&gt;""),OR(G1423&lt;&gt;"Supported",AND(F1423="Supported",D1423&lt;&gt;"",E1423&lt;&gt;""))),"Yes","No"))</f>
        <v/>
      </c>
    </row>
    <row r="1424" spans="11:11">
      <c r="K1424" s="11">
        <f>IF(OR(A1424="",C1424=""),"",IF(AND(COUNTIF(Responses!$A$6:$A$205,A1424)=1,B1424&lt;&gt;"",COUNTIFS($A$6:$A$2005,A1424,$B$6:$B$2005,B1424)=1,OR(F1424="Supported",F1424="Unsupported",F1424="Contradicted"),OR(G1424="Supported",G1424="Wrong citation",G1424="Missing citation"),OR(H1424="Yes",H1424="No"),I1424&lt;&gt;"",OR(F1424&lt;&gt;"Supported",E1424&lt;&gt;""),OR(G1424&lt;&gt;"Supported",AND(F1424="Supported",D1424&lt;&gt;"",E1424&lt;&gt;""))),"Yes","No"))</f>
        <v/>
      </c>
    </row>
    <row r="1425" spans="11:11">
      <c r="K1425" s="11">
        <f>IF(OR(A1425="",C1425=""),"",IF(AND(COUNTIF(Responses!$A$6:$A$205,A1425)=1,B1425&lt;&gt;"",COUNTIFS($A$6:$A$2005,A1425,$B$6:$B$2005,B1425)=1,OR(F1425="Supported",F1425="Unsupported",F1425="Contradicted"),OR(G1425="Supported",G1425="Wrong citation",G1425="Missing citation"),OR(H1425="Yes",H1425="No"),I1425&lt;&gt;"",OR(F1425&lt;&gt;"Supported",E1425&lt;&gt;""),OR(G1425&lt;&gt;"Supported",AND(F1425="Supported",D1425&lt;&gt;"",E1425&lt;&gt;""))),"Yes","No"))</f>
        <v/>
      </c>
    </row>
    <row r="1426" spans="11:11">
      <c r="K1426" s="11">
        <f>IF(OR(A1426="",C1426=""),"",IF(AND(COUNTIF(Responses!$A$6:$A$205,A1426)=1,B1426&lt;&gt;"",COUNTIFS($A$6:$A$2005,A1426,$B$6:$B$2005,B1426)=1,OR(F1426="Supported",F1426="Unsupported",F1426="Contradicted"),OR(G1426="Supported",G1426="Wrong citation",G1426="Missing citation"),OR(H1426="Yes",H1426="No"),I1426&lt;&gt;"",OR(F1426&lt;&gt;"Supported",E1426&lt;&gt;""),OR(G1426&lt;&gt;"Supported",AND(F1426="Supported",D1426&lt;&gt;"",E1426&lt;&gt;""))),"Yes","No"))</f>
        <v/>
      </c>
    </row>
    <row r="1427" spans="11:11">
      <c r="K1427" s="11">
        <f>IF(OR(A1427="",C1427=""),"",IF(AND(COUNTIF(Responses!$A$6:$A$205,A1427)=1,B1427&lt;&gt;"",COUNTIFS($A$6:$A$2005,A1427,$B$6:$B$2005,B1427)=1,OR(F1427="Supported",F1427="Unsupported",F1427="Contradicted"),OR(G1427="Supported",G1427="Wrong citation",G1427="Missing citation"),OR(H1427="Yes",H1427="No"),I1427&lt;&gt;"",OR(F1427&lt;&gt;"Supported",E1427&lt;&gt;""),OR(G1427&lt;&gt;"Supported",AND(F1427="Supported",D1427&lt;&gt;"",E1427&lt;&gt;""))),"Yes","No"))</f>
        <v/>
      </c>
    </row>
    <row r="1428" spans="11:11">
      <c r="K1428" s="11">
        <f>IF(OR(A1428="",C1428=""),"",IF(AND(COUNTIF(Responses!$A$6:$A$205,A1428)=1,B1428&lt;&gt;"",COUNTIFS($A$6:$A$2005,A1428,$B$6:$B$2005,B1428)=1,OR(F1428="Supported",F1428="Unsupported",F1428="Contradicted"),OR(G1428="Supported",G1428="Wrong citation",G1428="Missing citation"),OR(H1428="Yes",H1428="No"),I1428&lt;&gt;"",OR(F1428&lt;&gt;"Supported",E1428&lt;&gt;""),OR(G1428&lt;&gt;"Supported",AND(F1428="Supported",D1428&lt;&gt;"",E1428&lt;&gt;""))),"Yes","No"))</f>
        <v/>
      </c>
    </row>
    <row r="1429" spans="11:11">
      <c r="K1429" s="11">
        <f>IF(OR(A1429="",C1429=""),"",IF(AND(COUNTIF(Responses!$A$6:$A$205,A1429)=1,B1429&lt;&gt;"",COUNTIFS($A$6:$A$2005,A1429,$B$6:$B$2005,B1429)=1,OR(F1429="Supported",F1429="Unsupported",F1429="Contradicted"),OR(G1429="Supported",G1429="Wrong citation",G1429="Missing citation"),OR(H1429="Yes",H1429="No"),I1429&lt;&gt;"",OR(F1429&lt;&gt;"Supported",E1429&lt;&gt;""),OR(G1429&lt;&gt;"Supported",AND(F1429="Supported",D1429&lt;&gt;"",E1429&lt;&gt;""))),"Yes","No"))</f>
        <v/>
      </c>
    </row>
    <row r="1430" spans="11:11">
      <c r="K1430" s="11">
        <f>IF(OR(A1430="",C1430=""),"",IF(AND(COUNTIF(Responses!$A$6:$A$205,A1430)=1,B1430&lt;&gt;"",COUNTIFS($A$6:$A$2005,A1430,$B$6:$B$2005,B1430)=1,OR(F1430="Supported",F1430="Unsupported",F1430="Contradicted"),OR(G1430="Supported",G1430="Wrong citation",G1430="Missing citation"),OR(H1430="Yes",H1430="No"),I1430&lt;&gt;"",OR(F1430&lt;&gt;"Supported",E1430&lt;&gt;""),OR(G1430&lt;&gt;"Supported",AND(F1430="Supported",D1430&lt;&gt;"",E1430&lt;&gt;""))),"Yes","No"))</f>
        <v/>
      </c>
    </row>
    <row r="1431" spans="11:11">
      <c r="K1431" s="11">
        <f>IF(OR(A1431="",C1431=""),"",IF(AND(COUNTIF(Responses!$A$6:$A$205,A1431)=1,B1431&lt;&gt;"",COUNTIFS($A$6:$A$2005,A1431,$B$6:$B$2005,B1431)=1,OR(F1431="Supported",F1431="Unsupported",F1431="Contradicted"),OR(G1431="Supported",G1431="Wrong citation",G1431="Missing citation"),OR(H1431="Yes",H1431="No"),I1431&lt;&gt;"",OR(F1431&lt;&gt;"Supported",E1431&lt;&gt;""),OR(G1431&lt;&gt;"Supported",AND(F1431="Supported",D1431&lt;&gt;"",E1431&lt;&gt;""))),"Yes","No"))</f>
        <v/>
      </c>
    </row>
    <row r="1432" spans="11:11">
      <c r="K1432" s="11">
        <f>IF(OR(A1432="",C1432=""),"",IF(AND(COUNTIF(Responses!$A$6:$A$205,A1432)=1,B1432&lt;&gt;"",COUNTIFS($A$6:$A$2005,A1432,$B$6:$B$2005,B1432)=1,OR(F1432="Supported",F1432="Unsupported",F1432="Contradicted"),OR(G1432="Supported",G1432="Wrong citation",G1432="Missing citation"),OR(H1432="Yes",H1432="No"),I1432&lt;&gt;"",OR(F1432&lt;&gt;"Supported",E1432&lt;&gt;""),OR(G1432&lt;&gt;"Supported",AND(F1432="Supported",D1432&lt;&gt;"",E1432&lt;&gt;""))),"Yes","No"))</f>
        <v/>
      </c>
    </row>
    <row r="1433" spans="11:11">
      <c r="K1433" s="11">
        <f>IF(OR(A1433="",C1433=""),"",IF(AND(COUNTIF(Responses!$A$6:$A$205,A1433)=1,B1433&lt;&gt;"",COUNTIFS($A$6:$A$2005,A1433,$B$6:$B$2005,B1433)=1,OR(F1433="Supported",F1433="Unsupported",F1433="Contradicted"),OR(G1433="Supported",G1433="Wrong citation",G1433="Missing citation"),OR(H1433="Yes",H1433="No"),I1433&lt;&gt;"",OR(F1433&lt;&gt;"Supported",E1433&lt;&gt;""),OR(G1433&lt;&gt;"Supported",AND(F1433="Supported",D1433&lt;&gt;"",E1433&lt;&gt;""))),"Yes","No"))</f>
        <v/>
      </c>
    </row>
    <row r="1434" spans="11:11">
      <c r="K1434" s="11">
        <f>IF(OR(A1434="",C1434=""),"",IF(AND(COUNTIF(Responses!$A$6:$A$205,A1434)=1,B1434&lt;&gt;"",COUNTIFS($A$6:$A$2005,A1434,$B$6:$B$2005,B1434)=1,OR(F1434="Supported",F1434="Unsupported",F1434="Contradicted"),OR(G1434="Supported",G1434="Wrong citation",G1434="Missing citation"),OR(H1434="Yes",H1434="No"),I1434&lt;&gt;"",OR(F1434&lt;&gt;"Supported",E1434&lt;&gt;""),OR(G1434&lt;&gt;"Supported",AND(F1434="Supported",D1434&lt;&gt;"",E1434&lt;&gt;""))),"Yes","No"))</f>
        <v/>
      </c>
    </row>
    <row r="1435" spans="11:11">
      <c r="K1435" s="11">
        <f>IF(OR(A1435="",C1435=""),"",IF(AND(COUNTIF(Responses!$A$6:$A$205,A1435)=1,B1435&lt;&gt;"",COUNTIFS($A$6:$A$2005,A1435,$B$6:$B$2005,B1435)=1,OR(F1435="Supported",F1435="Unsupported",F1435="Contradicted"),OR(G1435="Supported",G1435="Wrong citation",G1435="Missing citation"),OR(H1435="Yes",H1435="No"),I1435&lt;&gt;"",OR(F1435&lt;&gt;"Supported",E1435&lt;&gt;""),OR(G1435&lt;&gt;"Supported",AND(F1435="Supported",D1435&lt;&gt;"",E1435&lt;&gt;""))),"Yes","No"))</f>
        <v/>
      </c>
    </row>
    <row r="1436" spans="11:11">
      <c r="K1436" s="11">
        <f>IF(OR(A1436="",C1436=""),"",IF(AND(COUNTIF(Responses!$A$6:$A$205,A1436)=1,B1436&lt;&gt;"",COUNTIFS($A$6:$A$2005,A1436,$B$6:$B$2005,B1436)=1,OR(F1436="Supported",F1436="Unsupported",F1436="Contradicted"),OR(G1436="Supported",G1436="Wrong citation",G1436="Missing citation"),OR(H1436="Yes",H1436="No"),I1436&lt;&gt;"",OR(F1436&lt;&gt;"Supported",E1436&lt;&gt;""),OR(G1436&lt;&gt;"Supported",AND(F1436="Supported",D1436&lt;&gt;"",E1436&lt;&gt;""))),"Yes","No"))</f>
        <v/>
      </c>
    </row>
    <row r="1437" spans="11:11">
      <c r="K1437" s="11">
        <f>IF(OR(A1437="",C1437=""),"",IF(AND(COUNTIF(Responses!$A$6:$A$205,A1437)=1,B1437&lt;&gt;"",COUNTIFS($A$6:$A$2005,A1437,$B$6:$B$2005,B1437)=1,OR(F1437="Supported",F1437="Unsupported",F1437="Contradicted"),OR(G1437="Supported",G1437="Wrong citation",G1437="Missing citation"),OR(H1437="Yes",H1437="No"),I1437&lt;&gt;"",OR(F1437&lt;&gt;"Supported",E1437&lt;&gt;""),OR(G1437&lt;&gt;"Supported",AND(F1437="Supported",D1437&lt;&gt;"",E1437&lt;&gt;""))),"Yes","No"))</f>
        <v/>
      </c>
    </row>
    <row r="1438" spans="11:11">
      <c r="K1438" s="11">
        <f>IF(OR(A1438="",C1438=""),"",IF(AND(COUNTIF(Responses!$A$6:$A$205,A1438)=1,B1438&lt;&gt;"",COUNTIFS($A$6:$A$2005,A1438,$B$6:$B$2005,B1438)=1,OR(F1438="Supported",F1438="Unsupported",F1438="Contradicted"),OR(G1438="Supported",G1438="Wrong citation",G1438="Missing citation"),OR(H1438="Yes",H1438="No"),I1438&lt;&gt;"",OR(F1438&lt;&gt;"Supported",E1438&lt;&gt;""),OR(G1438&lt;&gt;"Supported",AND(F1438="Supported",D1438&lt;&gt;"",E1438&lt;&gt;""))),"Yes","No"))</f>
        <v/>
      </c>
    </row>
    <row r="1439" spans="11:11">
      <c r="K1439" s="11">
        <f>IF(OR(A1439="",C1439=""),"",IF(AND(COUNTIF(Responses!$A$6:$A$205,A1439)=1,B1439&lt;&gt;"",COUNTIFS($A$6:$A$2005,A1439,$B$6:$B$2005,B1439)=1,OR(F1439="Supported",F1439="Unsupported",F1439="Contradicted"),OR(G1439="Supported",G1439="Wrong citation",G1439="Missing citation"),OR(H1439="Yes",H1439="No"),I1439&lt;&gt;"",OR(F1439&lt;&gt;"Supported",E1439&lt;&gt;""),OR(G1439&lt;&gt;"Supported",AND(F1439="Supported",D1439&lt;&gt;"",E1439&lt;&gt;""))),"Yes","No"))</f>
        <v/>
      </c>
    </row>
    <row r="1440" spans="11:11">
      <c r="K1440" s="11">
        <f>IF(OR(A1440="",C1440=""),"",IF(AND(COUNTIF(Responses!$A$6:$A$205,A1440)=1,B1440&lt;&gt;"",COUNTIFS($A$6:$A$2005,A1440,$B$6:$B$2005,B1440)=1,OR(F1440="Supported",F1440="Unsupported",F1440="Contradicted"),OR(G1440="Supported",G1440="Wrong citation",G1440="Missing citation"),OR(H1440="Yes",H1440="No"),I1440&lt;&gt;"",OR(F1440&lt;&gt;"Supported",E1440&lt;&gt;""),OR(G1440&lt;&gt;"Supported",AND(F1440="Supported",D1440&lt;&gt;"",E1440&lt;&gt;""))),"Yes","No"))</f>
        <v/>
      </c>
    </row>
    <row r="1441" spans="11:11">
      <c r="K1441" s="11">
        <f>IF(OR(A1441="",C1441=""),"",IF(AND(COUNTIF(Responses!$A$6:$A$205,A1441)=1,B1441&lt;&gt;"",COUNTIFS($A$6:$A$2005,A1441,$B$6:$B$2005,B1441)=1,OR(F1441="Supported",F1441="Unsupported",F1441="Contradicted"),OR(G1441="Supported",G1441="Wrong citation",G1441="Missing citation"),OR(H1441="Yes",H1441="No"),I1441&lt;&gt;"",OR(F1441&lt;&gt;"Supported",E1441&lt;&gt;""),OR(G1441&lt;&gt;"Supported",AND(F1441="Supported",D1441&lt;&gt;"",E1441&lt;&gt;""))),"Yes","No"))</f>
        <v/>
      </c>
    </row>
    <row r="1442" spans="11:11">
      <c r="K1442" s="11">
        <f>IF(OR(A1442="",C1442=""),"",IF(AND(COUNTIF(Responses!$A$6:$A$205,A1442)=1,B1442&lt;&gt;"",COUNTIFS($A$6:$A$2005,A1442,$B$6:$B$2005,B1442)=1,OR(F1442="Supported",F1442="Unsupported",F1442="Contradicted"),OR(G1442="Supported",G1442="Wrong citation",G1442="Missing citation"),OR(H1442="Yes",H1442="No"),I1442&lt;&gt;"",OR(F1442&lt;&gt;"Supported",E1442&lt;&gt;""),OR(G1442&lt;&gt;"Supported",AND(F1442="Supported",D1442&lt;&gt;"",E1442&lt;&gt;""))),"Yes","No"))</f>
        <v/>
      </c>
    </row>
    <row r="1443" spans="11:11">
      <c r="K1443" s="11">
        <f>IF(OR(A1443="",C1443=""),"",IF(AND(COUNTIF(Responses!$A$6:$A$205,A1443)=1,B1443&lt;&gt;"",COUNTIFS($A$6:$A$2005,A1443,$B$6:$B$2005,B1443)=1,OR(F1443="Supported",F1443="Unsupported",F1443="Contradicted"),OR(G1443="Supported",G1443="Wrong citation",G1443="Missing citation"),OR(H1443="Yes",H1443="No"),I1443&lt;&gt;"",OR(F1443&lt;&gt;"Supported",E1443&lt;&gt;""),OR(G1443&lt;&gt;"Supported",AND(F1443="Supported",D1443&lt;&gt;"",E1443&lt;&gt;""))),"Yes","No"))</f>
        <v/>
      </c>
    </row>
    <row r="1444" spans="11:11">
      <c r="K1444" s="11">
        <f>IF(OR(A1444="",C1444=""),"",IF(AND(COUNTIF(Responses!$A$6:$A$205,A1444)=1,B1444&lt;&gt;"",COUNTIFS($A$6:$A$2005,A1444,$B$6:$B$2005,B1444)=1,OR(F1444="Supported",F1444="Unsupported",F1444="Contradicted"),OR(G1444="Supported",G1444="Wrong citation",G1444="Missing citation"),OR(H1444="Yes",H1444="No"),I1444&lt;&gt;"",OR(F1444&lt;&gt;"Supported",E1444&lt;&gt;""),OR(G1444&lt;&gt;"Supported",AND(F1444="Supported",D1444&lt;&gt;"",E1444&lt;&gt;""))),"Yes","No"))</f>
        <v/>
      </c>
    </row>
    <row r="1445" spans="11:11">
      <c r="K1445" s="11">
        <f>IF(OR(A1445="",C1445=""),"",IF(AND(COUNTIF(Responses!$A$6:$A$205,A1445)=1,B1445&lt;&gt;"",COUNTIFS($A$6:$A$2005,A1445,$B$6:$B$2005,B1445)=1,OR(F1445="Supported",F1445="Unsupported",F1445="Contradicted"),OR(G1445="Supported",G1445="Wrong citation",G1445="Missing citation"),OR(H1445="Yes",H1445="No"),I1445&lt;&gt;"",OR(F1445&lt;&gt;"Supported",E1445&lt;&gt;""),OR(G1445&lt;&gt;"Supported",AND(F1445="Supported",D1445&lt;&gt;"",E1445&lt;&gt;""))),"Yes","No"))</f>
        <v/>
      </c>
    </row>
    <row r="1446" spans="11:11">
      <c r="K1446" s="11">
        <f>IF(OR(A1446="",C1446=""),"",IF(AND(COUNTIF(Responses!$A$6:$A$205,A1446)=1,B1446&lt;&gt;"",COUNTIFS($A$6:$A$2005,A1446,$B$6:$B$2005,B1446)=1,OR(F1446="Supported",F1446="Unsupported",F1446="Contradicted"),OR(G1446="Supported",G1446="Wrong citation",G1446="Missing citation"),OR(H1446="Yes",H1446="No"),I1446&lt;&gt;"",OR(F1446&lt;&gt;"Supported",E1446&lt;&gt;""),OR(G1446&lt;&gt;"Supported",AND(F1446="Supported",D1446&lt;&gt;"",E1446&lt;&gt;""))),"Yes","No"))</f>
        <v/>
      </c>
    </row>
    <row r="1447" spans="11:11">
      <c r="K1447" s="11">
        <f>IF(OR(A1447="",C1447=""),"",IF(AND(COUNTIF(Responses!$A$6:$A$205,A1447)=1,B1447&lt;&gt;"",COUNTIFS($A$6:$A$2005,A1447,$B$6:$B$2005,B1447)=1,OR(F1447="Supported",F1447="Unsupported",F1447="Contradicted"),OR(G1447="Supported",G1447="Wrong citation",G1447="Missing citation"),OR(H1447="Yes",H1447="No"),I1447&lt;&gt;"",OR(F1447&lt;&gt;"Supported",E1447&lt;&gt;""),OR(G1447&lt;&gt;"Supported",AND(F1447="Supported",D1447&lt;&gt;"",E1447&lt;&gt;""))),"Yes","No"))</f>
        <v/>
      </c>
    </row>
    <row r="1448" spans="11:11">
      <c r="K1448" s="11">
        <f>IF(OR(A1448="",C1448=""),"",IF(AND(COUNTIF(Responses!$A$6:$A$205,A1448)=1,B1448&lt;&gt;"",COUNTIFS($A$6:$A$2005,A1448,$B$6:$B$2005,B1448)=1,OR(F1448="Supported",F1448="Unsupported",F1448="Contradicted"),OR(G1448="Supported",G1448="Wrong citation",G1448="Missing citation"),OR(H1448="Yes",H1448="No"),I1448&lt;&gt;"",OR(F1448&lt;&gt;"Supported",E1448&lt;&gt;""),OR(G1448&lt;&gt;"Supported",AND(F1448="Supported",D1448&lt;&gt;"",E1448&lt;&gt;""))),"Yes","No"))</f>
        <v/>
      </c>
    </row>
    <row r="1449" spans="11:11">
      <c r="K1449" s="11">
        <f>IF(OR(A1449="",C1449=""),"",IF(AND(COUNTIF(Responses!$A$6:$A$205,A1449)=1,B1449&lt;&gt;"",COUNTIFS($A$6:$A$2005,A1449,$B$6:$B$2005,B1449)=1,OR(F1449="Supported",F1449="Unsupported",F1449="Contradicted"),OR(G1449="Supported",G1449="Wrong citation",G1449="Missing citation"),OR(H1449="Yes",H1449="No"),I1449&lt;&gt;"",OR(F1449&lt;&gt;"Supported",E1449&lt;&gt;""),OR(G1449&lt;&gt;"Supported",AND(F1449="Supported",D1449&lt;&gt;"",E1449&lt;&gt;""))),"Yes","No"))</f>
        <v/>
      </c>
    </row>
    <row r="1450" spans="11:11">
      <c r="K1450" s="11">
        <f>IF(OR(A1450="",C1450=""),"",IF(AND(COUNTIF(Responses!$A$6:$A$205,A1450)=1,B1450&lt;&gt;"",COUNTIFS($A$6:$A$2005,A1450,$B$6:$B$2005,B1450)=1,OR(F1450="Supported",F1450="Unsupported",F1450="Contradicted"),OR(G1450="Supported",G1450="Wrong citation",G1450="Missing citation"),OR(H1450="Yes",H1450="No"),I1450&lt;&gt;"",OR(F1450&lt;&gt;"Supported",E1450&lt;&gt;""),OR(G1450&lt;&gt;"Supported",AND(F1450="Supported",D1450&lt;&gt;"",E1450&lt;&gt;""))),"Yes","No"))</f>
        <v/>
      </c>
    </row>
    <row r="1451" spans="11:11">
      <c r="K1451" s="11">
        <f>IF(OR(A1451="",C1451=""),"",IF(AND(COUNTIF(Responses!$A$6:$A$205,A1451)=1,B1451&lt;&gt;"",COUNTIFS($A$6:$A$2005,A1451,$B$6:$B$2005,B1451)=1,OR(F1451="Supported",F1451="Unsupported",F1451="Contradicted"),OR(G1451="Supported",G1451="Wrong citation",G1451="Missing citation"),OR(H1451="Yes",H1451="No"),I1451&lt;&gt;"",OR(F1451&lt;&gt;"Supported",E1451&lt;&gt;""),OR(G1451&lt;&gt;"Supported",AND(F1451="Supported",D1451&lt;&gt;"",E1451&lt;&gt;""))),"Yes","No"))</f>
        <v/>
      </c>
    </row>
    <row r="1452" spans="11:11">
      <c r="K1452" s="11">
        <f>IF(OR(A1452="",C1452=""),"",IF(AND(COUNTIF(Responses!$A$6:$A$205,A1452)=1,B1452&lt;&gt;"",COUNTIFS($A$6:$A$2005,A1452,$B$6:$B$2005,B1452)=1,OR(F1452="Supported",F1452="Unsupported",F1452="Contradicted"),OR(G1452="Supported",G1452="Wrong citation",G1452="Missing citation"),OR(H1452="Yes",H1452="No"),I1452&lt;&gt;"",OR(F1452&lt;&gt;"Supported",E1452&lt;&gt;""),OR(G1452&lt;&gt;"Supported",AND(F1452="Supported",D1452&lt;&gt;"",E1452&lt;&gt;""))),"Yes","No"))</f>
        <v/>
      </c>
    </row>
    <row r="1453" spans="11:11">
      <c r="K1453" s="11">
        <f>IF(OR(A1453="",C1453=""),"",IF(AND(COUNTIF(Responses!$A$6:$A$205,A1453)=1,B1453&lt;&gt;"",COUNTIFS($A$6:$A$2005,A1453,$B$6:$B$2005,B1453)=1,OR(F1453="Supported",F1453="Unsupported",F1453="Contradicted"),OR(G1453="Supported",G1453="Wrong citation",G1453="Missing citation"),OR(H1453="Yes",H1453="No"),I1453&lt;&gt;"",OR(F1453&lt;&gt;"Supported",E1453&lt;&gt;""),OR(G1453&lt;&gt;"Supported",AND(F1453="Supported",D1453&lt;&gt;"",E1453&lt;&gt;""))),"Yes","No"))</f>
        <v/>
      </c>
    </row>
    <row r="1454" spans="11:11">
      <c r="K1454" s="11">
        <f>IF(OR(A1454="",C1454=""),"",IF(AND(COUNTIF(Responses!$A$6:$A$205,A1454)=1,B1454&lt;&gt;"",COUNTIFS($A$6:$A$2005,A1454,$B$6:$B$2005,B1454)=1,OR(F1454="Supported",F1454="Unsupported",F1454="Contradicted"),OR(G1454="Supported",G1454="Wrong citation",G1454="Missing citation"),OR(H1454="Yes",H1454="No"),I1454&lt;&gt;"",OR(F1454&lt;&gt;"Supported",E1454&lt;&gt;""),OR(G1454&lt;&gt;"Supported",AND(F1454="Supported",D1454&lt;&gt;"",E1454&lt;&gt;""))),"Yes","No"))</f>
        <v/>
      </c>
    </row>
    <row r="1455" spans="11:11">
      <c r="K1455" s="11">
        <f>IF(OR(A1455="",C1455=""),"",IF(AND(COUNTIF(Responses!$A$6:$A$205,A1455)=1,B1455&lt;&gt;"",COUNTIFS($A$6:$A$2005,A1455,$B$6:$B$2005,B1455)=1,OR(F1455="Supported",F1455="Unsupported",F1455="Contradicted"),OR(G1455="Supported",G1455="Wrong citation",G1455="Missing citation"),OR(H1455="Yes",H1455="No"),I1455&lt;&gt;"",OR(F1455&lt;&gt;"Supported",E1455&lt;&gt;""),OR(G1455&lt;&gt;"Supported",AND(F1455="Supported",D1455&lt;&gt;"",E1455&lt;&gt;""))),"Yes","No"))</f>
        <v/>
      </c>
    </row>
    <row r="1456" spans="11:11">
      <c r="K1456" s="11">
        <f>IF(OR(A1456="",C1456=""),"",IF(AND(COUNTIF(Responses!$A$6:$A$205,A1456)=1,B1456&lt;&gt;"",COUNTIFS($A$6:$A$2005,A1456,$B$6:$B$2005,B1456)=1,OR(F1456="Supported",F1456="Unsupported",F1456="Contradicted"),OR(G1456="Supported",G1456="Wrong citation",G1456="Missing citation"),OR(H1456="Yes",H1456="No"),I1456&lt;&gt;"",OR(F1456&lt;&gt;"Supported",E1456&lt;&gt;""),OR(G1456&lt;&gt;"Supported",AND(F1456="Supported",D1456&lt;&gt;"",E1456&lt;&gt;""))),"Yes","No"))</f>
        <v/>
      </c>
    </row>
    <row r="1457" spans="11:11">
      <c r="K1457" s="11">
        <f>IF(OR(A1457="",C1457=""),"",IF(AND(COUNTIF(Responses!$A$6:$A$205,A1457)=1,B1457&lt;&gt;"",COUNTIFS($A$6:$A$2005,A1457,$B$6:$B$2005,B1457)=1,OR(F1457="Supported",F1457="Unsupported",F1457="Contradicted"),OR(G1457="Supported",G1457="Wrong citation",G1457="Missing citation"),OR(H1457="Yes",H1457="No"),I1457&lt;&gt;"",OR(F1457&lt;&gt;"Supported",E1457&lt;&gt;""),OR(G1457&lt;&gt;"Supported",AND(F1457="Supported",D1457&lt;&gt;"",E1457&lt;&gt;""))),"Yes","No"))</f>
        <v/>
      </c>
    </row>
    <row r="1458" spans="11:11">
      <c r="K1458" s="11">
        <f>IF(OR(A1458="",C1458=""),"",IF(AND(COUNTIF(Responses!$A$6:$A$205,A1458)=1,B1458&lt;&gt;"",COUNTIFS($A$6:$A$2005,A1458,$B$6:$B$2005,B1458)=1,OR(F1458="Supported",F1458="Unsupported",F1458="Contradicted"),OR(G1458="Supported",G1458="Wrong citation",G1458="Missing citation"),OR(H1458="Yes",H1458="No"),I1458&lt;&gt;"",OR(F1458&lt;&gt;"Supported",E1458&lt;&gt;""),OR(G1458&lt;&gt;"Supported",AND(F1458="Supported",D1458&lt;&gt;"",E1458&lt;&gt;""))),"Yes","No"))</f>
        <v/>
      </c>
    </row>
    <row r="1459" spans="11:11">
      <c r="K1459" s="11">
        <f>IF(OR(A1459="",C1459=""),"",IF(AND(COUNTIF(Responses!$A$6:$A$205,A1459)=1,B1459&lt;&gt;"",COUNTIFS($A$6:$A$2005,A1459,$B$6:$B$2005,B1459)=1,OR(F1459="Supported",F1459="Unsupported",F1459="Contradicted"),OR(G1459="Supported",G1459="Wrong citation",G1459="Missing citation"),OR(H1459="Yes",H1459="No"),I1459&lt;&gt;"",OR(F1459&lt;&gt;"Supported",E1459&lt;&gt;""),OR(G1459&lt;&gt;"Supported",AND(F1459="Supported",D1459&lt;&gt;"",E1459&lt;&gt;""))),"Yes","No"))</f>
        <v/>
      </c>
    </row>
    <row r="1460" spans="11:11">
      <c r="K1460" s="11">
        <f>IF(OR(A1460="",C1460=""),"",IF(AND(COUNTIF(Responses!$A$6:$A$205,A1460)=1,B1460&lt;&gt;"",COUNTIFS($A$6:$A$2005,A1460,$B$6:$B$2005,B1460)=1,OR(F1460="Supported",F1460="Unsupported",F1460="Contradicted"),OR(G1460="Supported",G1460="Wrong citation",G1460="Missing citation"),OR(H1460="Yes",H1460="No"),I1460&lt;&gt;"",OR(F1460&lt;&gt;"Supported",E1460&lt;&gt;""),OR(G1460&lt;&gt;"Supported",AND(F1460="Supported",D1460&lt;&gt;"",E1460&lt;&gt;""))),"Yes","No"))</f>
        <v/>
      </c>
    </row>
    <row r="1461" spans="11:11">
      <c r="K1461" s="11">
        <f>IF(OR(A1461="",C1461=""),"",IF(AND(COUNTIF(Responses!$A$6:$A$205,A1461)=1,B1461&lt;&gt;"",COUNTIFS($A$6:$A$2005,A1461,$B$6:$B$2005,B1461)=1,OR(F1461="Supported",F1461="Unsupported",F1461="Contradicted"),OR(G1461="Supported",G1461="Wrong citation",G1461="Missing citation"),OR(H1461="Yes",H1461="No"),I1461&lt;&gt;"",OR(F1461&lt;&gt;"Supported",E1461&lt;&gt;""),OR(G1461&lt;&gt;"Supported",AND(F1461="Supported",D1461&lt;&gt;"",E1461&lt;&gt;""))),"Yes","No"))</f>
        <v/>
      </c>
    </row>
    <row r="1462" spans="11:11">
      <c r="K1462" s="11">
        <f>IF(OR(A1462="",C1462=""),"",IF(AND(COUNTIF(Responses!$A$6:$A$205,A1462)=1,B1462&lt;&gt;"",COUNTIFS($A$6:$A$2005,A1462,$B$6:$B$2005,B1462)=1,OR(F1462="Supported",F1462="Unsupported",F1462="Contradicted"),OR(G1462="Supported",G1462="Wrong citation",G1462="Missing citation"),OR(H1462="Yes",H1462="No"),I1462&lt;&gt;"",OR(F1462&lt;&gt;"Supported",E1462&lt;&gt;""),OR(G1462&lt;&gt;"Supported",AND(F1462="Supported",D1462&lt;&gt;"",E1462&lt;&gt;""))),"Yes","No"))</f>
        <v/>
      </c>
    </row>
    <row r="1463" spans="11:11">
      <c r="K1463" s="11">
        <f>IF(OR(A1463="",C1463=""),"",IF(AND(COUNTIF(Responses!$A$6:$A$205,A1463)=1,B1463&lt;&gt;"",COUNTIFS($A$6:$A$2005,A1463,$B$6:$B$2005,B1463)=1,OR(F1463="Supported",F1463="Unsupported",F1463="Contradicted"),OR(G1463="Supported",G1463="Wrong citation",G1463="Missing citation"),OR(H1463="Yes",H1463="No"),I1463&lt;&gt;"",OR(F1463&lt;&gt;"Supported",E1463&lt;&gt;""),OR(G1463&lt;&gt;"Supported",AND(F1463="Supported",D1463&lt;&gt;"",E1463&lt;&gt;""))),"Yes","No"))</f>
        <v/>
      </c>
    </row>
    <row r="1464" spans="11:11">
      <c r="K1464" s="11">
        <f>IF(OR(A1464="",C1464=""),"",IF(AND(COUNTIF(Responses!$A$6:$A$205,A1464)=1,B1464&lt;&gt;"",COUNTIFS($A$6:$A$2005,A1464,$B$6:$B$2005,B1464)=1,OR(F1464="Supported",F1464="Unsupported",F1464="Contradicted"),OR(G1464="Supported",G1464="Wrong citation",G1464="Missing citation"),OR(H1464="Yes",H1464="No"),I1464&lt;&gt;"",OR(F1464&lt;&gt;"Supported",E1464&lt;&gt;""),OR(G1464&lt;&gt;"Supported",AND(F1464="Supported",D1464&lt;&gt;"",E1464&lt;&gt;""))),"Yes","No"))</f>
        <v/>
      </c>
    </row>
    <row r="1465" spans="11:11">
      <c r="K1465" s="11">
        <f>IF(OR(A1465="",C1465=""),"",IF(AND(COUNTIF(Responses!$A$6:$A$205,A1465)=1,B1465&lt;&gt;"",COUNTIFS($A$6:$A$2005,A1465,$B$6:$B$2005,B1465)=1,OR(F1465="Supported",F1465="Unsupported",F1465="Contradicted"),OR(G1465="Supported",G1465="Wrong citation",G1465="Missing citation"),OR(H1465="Yes",H1465="No"),I1465&lt;&gt;"",OR(F1465&lt;&gt;"Supported",E1465&lt;&gt;""),OR(G1465&lt;&gt;"Supported",AND(F1465="Supported",D1465&lt;&gt;"",E1465&lt;&gt;""))),"Yes","No"))</f>
        <v/>
      </c>
    </row>
    <row r="1466" spans="11:11">
      <c r="K1466" s="11">
        <f>IF(OR(A1466="",C1466=""),"",IF(AND(COUNTIF(Responses!$A$6:$A$205,A1466)=1,B1466&lt;&gt;"",COUNTIFS($A$6:$A$2005,A1466,$B$6:$B$2005,B1466)=1,OR(F1466="Supported",F1466="Unsupported",F1466="Contradicted"),OR(G1466="Supported",G1466="Wrong citation",G1466="Missing citation"),OR(H1466="Yes",H1466="No"),I1466&lt;&gt;"",OR(F1466&lt;&gt;"Supported",E1466&lt;&gt;""),OR(G1466&lt;&gt;"Supported",AND(F1466="Supported",D1466&lt;&gt;"",E1466&lt;&gt;""))),"Yes","No"))</f>
        <v/>
      </c>
    </row>
    <row r="1467" spans="11:11">
      <c r="K1467" s="11">
        <f>IF(OR(A1467="",C1467=""),"",IF(AND(COUNTIF(Responses!$A$6:$A$205,A1467)=1,B1467&lt;&gt;"",COUNTIFS($A$6:$A$2005,A1467,$B$6:$B$2005,B1467)=1,OR(F1467="Supported",F1467="Unsupported",F1467="Contradicted"),OR(G1467="Supported",G1467="Wrong citation",G1467="Missing citation"),OR(H1467="Yes",H1467="No"),I1467&lt;&gt;"",OR(F1467&lt;&gt;"Supported",E1467&lt;&gt;""),OR(G1467&lt;&gt;"Supported",AND(F1467="Supported",D1467&lt;&gt;"",E1467&lt;&gt;""))),"Yes","No"))</f>
        <v/>
      </c>
    </row>
    <row r="1468" spans="11:11">
      <c r="K1468" s="11">
        <f>IF(OR(A1468="",C1468=""),"",IF(AND(COUNTIF(Responses!$A$6:$A$205,A1468)=1,B1468&lt;&gt;"",COUNTIFS($A$6:$A$2005,A1468,$B$6:$B$2005,B1468)=1,OR(F1468="Supported",F1468="Unsupported",F1468="Contradicted"),OR(G1468="Supported",G1468="Wrong citation",G1468="Missing citation"),OR(H1468="Yes",H1468="No"),I1468&lt;&gt;"",OR(F1468&lt;&gt;"Supported",E1468&lt;&gt;""),OR(G1468&lt;&gt;"Supported",AND(F1468="Supported",D1468&lt;&gt;"",E1468&lt;&gt;""))),"Yes","No"))</f>
        <v/>
      </c>
    </row>
    <row r="1469" spans="11:11">
      <c r="K1469" s="11">
        <f>IF(OR(A1469="",C1469=""),"",IF(AND(COUNTIF(Responses!$A$6:$A$205,A1469)=1,B1469&lt;&gt;"",COUNTIFS($A$6:$A$2005,A1469,$B$6:$B$2005,B1469)=1,OR(F1469="Supported",F1469="Unsupported",F1469="Contradicted"),OR(G1469="Supported",G1469="Wrong citation",G1469="Missing citation"),OR(H1469="Yes",H1469="No"),I1469&lt;&gt;"",OR(F1469&lt;&gt;"Supported",E1469&lt;&gt;""),OR(G1469&lt;&gt;"Supported",AND(F1469="Supported",D1469&lt;&gt;"",E1469&lt;&gt;""))),"Yes","No"))</f>
        <v/>
      </c>
    </row>
    <row r="1470" spans="11:11">
      <c r="K1470" s="11">
        <f>IF(OR(A1470="",C1470=""),"",IF(AND(COUNTIF(Responses!$A$6:$A$205,A1470)=1,B1470&lt;&gt;"",COUNTIFS($A$6:$A$2005,A1470,$B$6:$B$2005,B1470)=1,OR(F1470="Supported",F1470="Unsupported",F1470="Contradicted"),OR(G1470="Supported",G1470="Wrong citation",G1470="Missing citation"),OR(H1470="Yes",H1470="No"),I1470&lt;&gt;"",OR(F1470&lt;&gt;"Supported",E1470&lt;&gt;""),OR(G1470&lt;&gt;"Supported",AND(F1470="Supported",D1470&lt;&gt;"",E1470&lt;&gt;""))),"Yes","No"))</f>
        <v/>
      </c>
    </row>
    <row r="1471" spans="11:11">
      <c r="K1471" s="11">
        <f>IF(OR(A1471="",C1471=""),"",IF(AND(COUNTIF(Responses!$A$6:$A$205,A1471)=1,B1471&lt;&gt;"",COUNTIFS($A$6:$A$2005,A1471,$B$6:$B$2005,B1471)=1,OR(F1471="Supported",F1471="Unsupported",F1471="Contradicted"),OR(G1471="Supported",G1471="Wrong citation",G1471="Missing citation"),OR(H1471="Yes",H1471="No"),I1471&lt;&gt;"",OR(F1471&lt;&gt;"Supported",E1471&lt;&gt;""),OR(G1471&lt;&gt;"Supported",AND(F1471="Supported",D1471&lt;&gt;"",E1471&lt;&gt;""))),"Yes","No"))</f>
        <v/>
      </c>
    </row>
    <row r="1472" spans="11:11">
      <c r="K1472" s="11">
        <f>IF(OR(A1472="",C1472=""),"",IF(AND(COUNTIF(Responses!$A$6:$A$205,A1472)=1,B1472&lt;&gt;"",COUNTIFS($A$6:$A$2005,A1472,$B$6:$B$2005,B1472)=1,OR(F1472="Supported",F1472="Unsupported",F1472="Contradicted"),OR(G1472="Supported",G1472="Wrong citation",G1472="Missing citation"),OR(H1472="Yes",H1472="No"),I1472&lt;&gt;"",OR(F1472&lt;&gt;"Supported",E1472&lt;&gt;""),OR(G1472&lt;&gt;"Supported",AND(F1472="Supported",D1472&lt;&gt;"",E1472&lt;&gt;""))),"Yes","No"))</f>
        <v/>
      </c>
    </row>
    <row r="1473" spans="11:11">
      <c r="K1473" s="11">
        <f>IF(OR(A1473="",C1473=""),"",IF(AND(COUNTIF(Responses!$A$6:$A$205,A1473)=1,B1473&lt;&gt;"",COUNTIFS($A$6:$A$2005,A1473,$B$6:$B$2005,B1473)=1,OR(F1473="Supported",F1473="Unsupported",F1473="Contradicted"),OR(G1473="Supported",G1473="Wrong citation",G1473="Missing citation"),OR(H1473="Yes",H1473="No"),I1473&lt;&gt;"",OR(F1473&lt;&gt;"Supported",E1473&lt;&gt;""),OR(G1473&lt;&gt;"Supported",AND(F1473="Supported",D1473&lt;&gt;"",E1473&lt;&gt;""))),"Yes","No"))</f>
        <v/>
      </c>
    </row>
    <row r="1474" spans="11:11">
      <c r="K1474" s="11">
        <f>IF(OR(A1474="",C1474=""),"",IF(AND(COUNTIF(Responses!$A$6:$A$205,A1474)=1,B1474&lt;&gt;"",COUNTIFS($A$6:$A$2005,A1474,$B$6:$B$2005,B1474)=1,OR(F1474="Supported",F1474="Unsupported",F1474="Contradicted"),OR(G1474="Supported",G1474="Wrong citation",G1474="Missing citation"),OR(H1474="Yes",H1474="No"),I1474&lt;&gt;"",OR(F1474&lt;&gt;"Supported",E1474&lt;&gt;""),OR(G1474&lt;&gt;"Supported",AND(F1474="Supported",D1474&lt;&gt;"",E1474&lt;&gt;""))),"Yes","No"))</f>
        <v/>
      </c>
    </row>
    <row r="1475" spans="11:11">
      <c r="K1475" s="11">
        <f>IF(OR(A1475="",C1475=""),"",IF(AND(COUNTIF(Responses!$A$6:$A$205,A1475)=1,B1475&lt;&gt;"",COUNTIFS($A$6:$A$2005,A1475,$B$6:$B$2005,B1475)=1,OR(F1475="Supported",F1475="Unsupported",F1475="Contradicted"),OR(G1475="Supported",G1475="Wrong citation",G1475="Missing citation"),OR(H1475="Yes",H1475="No"),I1475&lt;&gt;"",OR(F1475&lt;&gt;"Supported",E1475&lt;&gt;""),OR(G1475&lt;&gt;"Supported",AND(F1475="Supported",D1475&lt;&gt;"",E1475&lt;&gt;""))),"Yes","No"))</f>
        <v/>
      </c>
    </row>
    <row r="1476" spans="11:11">
      <c r="K1476" s="11">
        <f>IF(OR(A1476="",C1476=""),"",IF(AND(COUNTIF(Responses!$A$6:$A$205,A1476)=1,B1476&lt;&gt;"",COUNTIFS($A$6:$A$2005,A1476,$B$6:$B$2005,B1476)=1,OR(F1476="Supported",F1476="Unsupported",F1476="Contradicted"),OR(G1476="Supported",G1476="Wrong citation",G1476="Missing citation"),OR(H1476="Yes",H1476="No"),I1476&lt;&gt;"",OR(F1476&lt;&gt;"Supported",E1476&lt;&gt;""),OR(G1476&lt;&gt;"Supported",AND(F1476="Supported",D1476&lt;&gt;"",E1476&lt;&gt;""))),"Yes","No"))</f>
        <v/>
      </c>
    </row>
    <row r="1477" spans="11:11">
      <c r="K1477" s="11">
        <f>IF(OR(A1477="",C1477=""),"",IF(AND(COUNTIF(Responses!$A$6:$A$205,A1477)=1,B1477&lt;&gt;"",COUNTIFS($A$6:$A$2005,A1477,$B$6:$B$2005,B1477)=1,OR(F1477="Supported",F1477="Unsupported",F1477="Contradicted"),OR(G1477="Supported",G1477="Wrong citation",G1477="Missing citation"),OR(H1477="Yes",H1477="No"),I1477&lt;&gt;"",OR(F1477&lt;&gt;"Supported",E1477&lt;&gt;""),OR(G1477&lt;&gt;"Supported",AND(F1477="Supported",D1477&lt;&gt;"",E1477&lt;&gt;""))),"Yes","No"))</f>
        <v/>
      </c>
    </row>
    <row r="1478" spans="11:11">
      <c r="K1478" s="11">
        <f>IF(OR(A1478="",C1478=""),"",IF(AND(COUNTIF(Responses!$A$6:$A$205,A1478)=1,B1478&lt;&gt;"",COUNTIFS($A$6:$A$2005,A1478,$B$6:$B$2005,B1478)=1,OR(F1478="Supported",F1478="Unsupported",F1478="Contradicted"),OR(G1478="Supported",G1478="Wrong citation",G1478="Missing citation"),OR(H1478="Yes",H1478="No"),I1478&lt;&gt;"",OR(F1478&lt;&gt;"Supported",E1478&lt;&gt;""),OR(G1478&lt;&gt;"Supported",AND(F1478="Supported",D1478&lt;&gt;"",E1478&lt;&gt;""))),"Yes","No"))</f>
        <v/>
      </c>
    </row>
    <row r="1479" spans="11:11">
      <c r="K1479" s="11">
        <f>IF(OR(A1479="",C1479=""),"",IF(AND(COUNTIF(Responses!$A$6:$A$205,A1479)=1,B1479&lt;&gt;"",COUNTIFS($A$6:$A$2005,A1479,$B$6:$B$2005,B1479)=1,OR(F1479="Supported",F1479="Unsupported",F1479="Contradicted"),OR(G1479="Supported",G1479="Wrong citation",G1479="Missing citation"),OR(H1479="Yes",H1479="No"),I1479&lt;&gt;"",OR(F1479&lt;&gt;"Supported",E1479&lt;&gt;""),OR(G1479&lt;&gt;"Supported",AND(F1479="Supported",D1479&lt;&gt;"",E1479&lt;&gt;""))),"Yes","No"))</f>
        <v/>
      </c>
    </row>
    <row r="1480" spans="11:11">
      <c r="K1480" s="11">
        <f>IF(OR(A1480="",C1480=""),"",IF(AND(COUNTIF(Responses!$A$6:$A$205,A1480)=1,B1480&lt;&gt;"",COUNTIFS($A$6:$A$2005,A1480,$B$6:$B$2005,B1480)=1,OR(F1480="Supported",F1480="Unsupported",F1480="Contradicted"),OR(G1480="Supported",G1480="Wrong citation",G1480="Missing citation"),OR(H1480="Yes",H1480="No"),I1480&lt;&gt;"",OR(F1480&lt;&gt;"Supported",E1480&lt;&gt;""),OR(G1480&lt;&gt;"Supported",AND(F1480="Supported",D1480&lt;&gt;"",E1480&lt;&gt;""))),"Yes","No"))</f>
        <v/>
      </c>
    </row>
    <row r="1481" spans="11:11">
      <c r="K1481" s="11">
        <f>IF(OR(A1481="",C1481=""),"",IF(AND(COUNTIF(Responses!$A$6:$A$205,A1481)=1,B1481&lt;&gt;"",COUNTIFS($A$6:$A$2005,A1481,$B$6:$B$2005,B1481)=1,OR(F1481="Supported",F1481="Unsupported",F1481="Contradicted"),OR(G1481="Supported",G1481="Wrong citation",G1481="Missing citation"),OR(H1481="Yes",H1481="No"),I1481&lt;&gt;"",OR(F1481&lt;&gt;"Supported",E1481&lt;&gt;""),OR(G1481&lt;&gt;"Supported",AND(F1481="Supported",D1481&lt;&gt;"",E1481&lt;&gt;""))),"Yes","No"))</f>
        <v/>
      </c>
    </row>
    <row r="1482" spans="11:11">
      <c r="K1482" s="11">
        <f>IF(OR(A1482="",C1482=""),"",IF(AND(COUNTIF(Responses!$A$6:$A$205,A1482)=1,B1482&lt;&gt;"",COUNTIFS($A$6:$A$2005,A1482,$B$6:$B$2005,B1482)=1,OR(F1482="Supported",F1482="Unsupported",F1482="Contradicted"),OR(G1482="Supported",G1482="Wrong citation",G1482="Missing citation"),OR(H1482="Yes",H1482="No"),I1482&lt;&gt;"",OR(F1482&lt;&gt;"Supported",E1482&lt;&gt;""),OR(G1482&lt;&gt;"Supported",AND(F1482="Supported",D1482&lt;&gt;"",E1482&lt;&gt;""))),"Yes","No"))</f>
        <v/>
      </c>
    </row>
    <row r="1483" spans="11:11">
      <c r="K1483" s="11">
        <f>IF(OR(A1483="",C1483=""),"",IF(AND(COUNTIF(Responses!$A$6:$A$205,A1483)=1,B1483&lt;&gt;"",COUNTIFS($A$6:$A$2005,A1483,$B$6:$B$2005,B1483)=1,OR(F1483="Supported",F1483="Unsupported",F1483="Contradicted"),OR(G1483="Supported",G1483="Wrong citation",G1483="Missing citation"),OR(H1483="Yes",H1483="No"),I1483&lt;&gt;"",OR(F1483&lt;&gt;"Supported",E1483&lt;&gt;""),OR(G1483&lt;&gt;"Supported",AND(F1483="Supported",D1483&lt;&gt;"",E1483&lt;&gt;""))),"Yes","No"))</f>
        <v/>
      </c>
    </row>
    <row r="1484" spans="11:11">
      <c r="K1484" s="11">
        <f>IF(OR(A1484="",C1484=""),"",IF(AND(COUNTIF(Responses!$A$6:$A$205,A1484)=1,B1484&lt;&gt;"",COUNTIFS($A$6:$A$2005,A1484,$B$6:$B$2005,B1484)=1,OR(F1484="Supported",F1484="Unsupported",F1484="Contradicted"),OR(G1484="Supported",G1484="Wrong citation",G1484="Missing citation"),OR(H1484="Yes",H1484="No"),I1484&lt;&gt;"",OR(F1484&lt;&gt;"Supported",E1484&lt;&gt;""),OR(G1484&lt;&gt;"Supported",AND(F1484="Supported",D1484&lt;&gt;"",E1484&lt;&gt;""))),"Yes","No"))</f>
        <v/>
      </c>
    </row>
    <row r="1485" spans="11:11">
      <c r="K1485" s="11">
        <f>IF(OR(A1485="",C1485=""),"",IF(AND(COUNTIF(Responses!$A$6:$A$205,A1485)=1,B1485&lt;&gt;"",COUNTIFS($A$6:$A$2005,A1485,$B$6:$B$2005,B1485)=1,OR(F1485="Supported",F1485="Unsupported",F1485="Contradicted"),OR(G1485="Supported",G1485="Wrong citation",G1485="Missing citation"),OR(H1485="Yes",H1485="No"),I1485&lt;&gt;"",OR(F1485&lt;&gt;"Supported",E1485&lt;&gt;""),OR(G1485&lt;&gt;"Supported",AND(F1485="Supported",D1485&lt;&gt;"",E1485&lt;&gt;""))),"Yes","No"))</f>
        <v/>
      </c>
    </row>
    <row r="1486" spans="11:11">
      <c r="K1486" s="11">
        <f>IF(OR(A1486="",C1486=""),"",IF(AND(COUNTIF(Responses!$A$6:$A$205,A1486)=1,B1486&lt;&gt;"",COUNTIFS($A$6:$A$2005,A1486,$B$6:$B$2005,B1486)=1,OR(F1486="Supported",F1486="Unsupported",F1486="Contradicted"),OR(G1486="Supported",G1486="Wrong citation",G1486="Missing citation"),OR(H1486="Yes",H1486="No"),I1486&lt;&gt;"",OR(F1486&lt;&gt;"Supported",E1486&lt;&gt;""),OR(G1486&lt;&gt;"Supported",AND(F1486="Supported",D1486&lt;&gt;"",E1486&lt;&gt;""))),"Yes","No"))</f>
        <v/>
      </c>
    </row>
    <row r="1487" spans="11:11">
      <c r="K1487" s="11">
        <f>IF(OR(A1487="",C1487=""),"",IF(AND(COUNTIF(Responses!$A$6:$A$205,A1487)=1,B1487&lt;&gt;"",COUNTIFS($A$6:$A$2005,A1487,$B$6:$B$2005,B1487)=1,OR(F1487="Supported",F1487="Unsupported",F1487="Contradicted"),OR(G1487="Supported",G1487="Wrong citation",G1487="Missing citation"),OR(H1487="Yes",H1487="No"),I1487&lt;&gt;"",OR(F1487&lt;&gt;"Supported",E1487&lt;&gt;""),OR(G1487&lt;&gt;"Supported",AND(F1487="Supported",D1487&lt;&gt;"",E1487&lt;&gt;""))),"Yes","No"))</f>
        <v/>
      </c>
    </row>
    <row r="1488" spans="11:11">
      <c r="K1488" s="11">
        <f>IF(OR(A1488="",C1488=""),"",IF(AND(COUNTIF(Responses!$A$6:$A$205,A1488)=1,B1488&lt;&gt;"",COUNTIFS($A$6:$A$2005,A1488,$B$6:$B$2005,B1488)=1,OR(F1488="Supported",F1488="Unsupported",F1488="Contradicted"),OR(G1488="Supported",G1488="Wrong citation",G1488="Missing citation"),OR(H1488="Yes",H1488="No"),I1488&lt;&gt;"",OR(F1488&lt;&gt;"Supported",E1488&lt;&gt;""),OR(G1488&lt;&gt;"Supported",AND(F1488="Supported",D1488&lt;&gt;"",E1488&lt;&gt;""))),"Yes","No"))</f>
        <v/>
      </c>
    </row>
    <row r="1489" spans="11:11">
      <c r="K1489" s="11">
        <f>IF(OR(A1489="",C1489=""),"",IF(AND(COUNTIF(Responses!$A$6:$A$205,A1489)=1,B1489&lt;&gt;"",COUNTIFS($A$6:$A$2005,A1489,$B$6:$B$2005,B1489)=1,OR(F1489="Supported",F1489="Unsupported",F1489="Contradicted"),OR(G1489="Supported",G1489="Wrong citation",G1489="Missing citation"),OR(H1489="Yes",H1489="No"),I1489&lt;&gt;"",OR(F1489&lt;&gt;"Supported",E1489&lt;&gt;""),OR(G1489&lt;&gt;"Supported",AND(F1489="Supported",D1489&lt;&gt;"",E1489&lt;&gt;""))),"Yes","No"))</f>
        <v/>
      </c>
    </row>
    <row r="1490" spans="11:11">
      <c r="K1490" s="11">
        <f>IF(OR(A1490="",C1490=""),"",IF(AND(COUNTIF(Responses!$A$6:$A$205,A1490)=1,B1490&lt;&gt;"",COUNTIFS($A$6:$A$2005,A1490,$B$6:$B$2005,B1490)=1,OR(F1490="Supported",F1490="Unsupported",F1490="Contradicted"),OR(G1490="Supported",G1490="Wrong citation",G1490="Missing citation"),OR(H1490="Yes",H1490="No"),I1490&lt;&gt;"",OR(F1490&lt;&gt;"Supported",E1490&lt;&gt;""),OR(G1490&lt;&gt;"Supported",AND(F1490="Supported",D1490&lt;&gt;"",E1490&lt;&gt;""))),"Yes","No"))</f>
        <v/>
      </c>
    </row>
    <row r="1491" spans="11:11">
      <c r="K1491" s="11">
        <f>IF(OR(A1491="",C1491=""),"",IF(AND(COUNTIF(Responses!$A$6:$A$205,A1491)=1,B1491&lt;&gt;"",COUNTIFS($A$6:$A$2005,A1491,$B$6:$B$2005,B1491)=1,OR(F1491="Supported",F1491="Unsupported",F1491="Contradicted"),OR(G1491="Supported",G1491="Wrong citation",G1491="Missing citation"),OR(H1491="Yes",H1491="No"),I1491&lt;&gt;"",OR(F1491&lt;&gt;"Supported",E1491&lt;&gt;""),OR(G1491&lt;&gt;"Supported",AND(F1491="Supported",D1491&lt;&gt;"",E1491&lt;&gt;""))),"Yes","No"))</f>
        <v/>
      </c>
    </row>
    <row r="1492" spans="11:11">
      <c r="K1492" s="11">
        <f>IF(OR(A1492="",C1492=""),"",IF(AND(COUNTIF(Responses!$A$6:$A$205,A1492)=1,B1492&lt;&gt;"",COUNTIFS($A$6:$A$2005,A1492,$B$6:$B$2005,B1492)=1,OR(F1492="Supported",F1492="Unsupported",F1492="Contradicted"),OR(G1492="Supported",G1492="Wrong citation",G1492="Missing citation"),OR(H1492="Yes",H1492="No"),I1492&lt;&gt;"",OR(F1492&lt;&gt;"Supported",E1492&lt;&gt;""),OR(G1492&lt;&gt;"Supported",AND(F1492="Supported",D1492&lt;&gt;"",E1492&lt;&gt;""))),"Yes","No"))</f>
        <v/>
      </c>
    </row>
    <row r="1493" spans="11:11">
      <c r="K1493" s="11">
        <f>IF(OR(A1493="",C1493=""),"",IF(AND(COUNTIF(Responses!$A$6:$A$205,A1493)=1,B1493&lt;&gt;"",COUNTIFS($A$6:$A$2005,A1493,$B$6:$B$2005,B1493)=1,OR(F1493="Supported",F1493="Unsupported",F1493="Contradicted"),OR(G1493="Supported",G1493="Wrong citation",G1493="Missing citation"),OR(H1493="Yes",H1493="No"),I1493&lt;&gt;"",OR(F1493&lt;&gt;"Supported",E1493&lt;&gt;""),OR(G1493&lt;&gt;"Supported",AND(F1493="Supported",D1493&lt;&gt;"",E1493&lt;&gt;""))),"Yes","No"))</f>
        <v/>
      </c>
    </row>
    <row r="1494" spans="11:11">
      <c r="K1494" s="11">
        <f>IF(OR(A1494="",C1494=""),"",IF(AND(COUNTIF(Responses!$A$6:$A$205,A1494)=1,B1494&lt;&gt;"",COUNTIFS($A$6:$A$2005,A1494,$B$6:$B$2005,B1494)=1,OR(F1494="Supported",F1494="Unsupported",F1494="Contradicted"),OR(G1494="Supported",G1494="Wrong citation",G1494="Missing citation"),OR(H1494="Yes",H1494="No"),I1494&lt;&gt;"",OR(F1494&lt;&gt;"Supported",E1494&lt;&gt;""),OR(G1494&lt;&gt;"Supported",AND(F1494="Supported",D1494&lt;&gt;"",E1494&lt;&gt;""))),"Yes","No"))</f>
        <v/>
      </c>
    </row>
    <row r="1495" spans="11:11">
      <c r="K1495" s="11">
        <f>IF(OR(A1495="",C1495=""),"",IF(AND(COUNTIF(Responses!$A$6:$A$205,A1495)=1,B1495&lt;&gt;"",COUNTIFS($A$6:$A$2005,A1495,$B$6:$B$2005,B1495)=1,OR(F1495="Supported",F1495="Unsupported",F1495="Contradicted"),OR(G1495="Supported",G1495="Wrong citation",G1495="Missing citation"),OR(H1495="Yes",H1495="No"),I1495&lt;&gt;"",OR(F1495&lt;&gt;"Supported",E1495&lt;&gt;""),OR(G1495&lt;&gt;"Supported",AND(F1495="Supported",D1495&lt;&gt;"",E1495&lt;&gt;""))),"Yes","No"))</f>
        <v/>
      </c>
    </row>
    <row r="1496" spans="11:11">
      <c r="K1496" s="11">
        <f>IF(OR(A1496="",C1496=""),"",IF(AND(COUNTIF(Responses!$A$6:$A$205,A1496)=1,B1496&lt;&gt;"",COUNTIFS($A$6:$A$2005,A1496,$B$6:$B$2005,B1496)=1,OR(F1496="Supported",F1496="Unsupported",F1496="Contradicted"),OR(G1496="Supported",G1496="Wrong citation",G1496="Missing citation"),OR(H1496="Yes",H1496="No"),I1496&lt;&gt;"",OR(F1496&lt;&gt;"Supported",E1496&lt;&gt;""),OR(G1496&lt;&gt;"Supported",AND(F1496="Supported",D1496&lt;&gt;"",E1496&lt;&gt;""))),"Yes","No"))</f>
        <v/>
      </c>
    </row>
    <row r="1497" spans="11:11">
      <c r="K1497" s="11">
        <f>IF(OR(A1497="",C1497=""),"",IF(AND(COUNTIF(Responses!$A$6:$A$205,A1497)=1,B1497&lt;&gt;"",COUNTIFS($A$6:$A$2005,A1497,$B$6:$B$2005,B1497)=1,OR(F1497="Supported",F1497="Unsupported",F1497="Contradicted"),OR(G1497="Supported",G1497="Wrong citation",G1497="Missing citation"),OR(H1497="Yes",H1497="No"),I1497&lt;&gt;"",OR(F1497&lt;&gt;"Supported",E1497&lt;&gt;""),OR(G1497&lt;&gt;"Supported",AND(F1497="Supported",D1497&lt;&gt;"",E1497&lt;&gt;""))),"Yes","No"))</f>
        <v/>
      </c>
    </row>
    <row r="1498" spans="11:11">
      <c r="K1498" s="11">
        <f>IF(OR(A1498="",C1498=""),"",IF(AND(COUNTIF(Responses!$A$6:$A$205,A1498)=1,B1498&lt;&gt;"",COUNTIFS($A$6:$A$2005,A1498,$B$6:$B$2005,B1498)=1,OR(F1498="Supported",F1498="Unsupported",F1498="Contradicted"),OR(G1498="Supported",G1498="Wrong citation",G1498="Missing citation"),OR(H1498="Yes",H1498="No"),I1498&lt;&gt;"",OR(F1498&lt;&gt;"Supported",E1498&lt;&gt;""),OR(G1498&lt;&gt;"Supported",AND(F1498="Supported",D1498&lt;&gt;"",E1498&lt;&gt;""))),"Yes","No"))</f>
        <v/>
      </c>
    </row>
    <row r="1499" spans="11:11">
      <c r="K1499" s="11">
        <f>IF(OR(A1499="",C1499=""),"",IF(AND(COUNTIF(Responses!$A$6:$A$205,A1499)=1,B1499&lt;&gt;"",COUNTIFS($A$6:$A$2005,A1499,$B$6:$B$2005,B1499)=1,OR(F1499="Supported",F1499="Unsupported",F1499="Contradicted"),OR(G1499="Supported",G1499="Wrong citation",G1499="Missing citation"),OR(H1499="Yes",H1499="No"),I1499&lt;&gt;"",OR(F1499&lt;&gt;"Supported",E1499&lt;&gt;""),OR(G1499&lt;&gt;"Supported",AND(F1499="Supported",D1499&lt;&gt;"",E1499&lt;&gt;""))),"Yes","No"))</f>
        <v/>
      </c>
    </row>
    <row r="1500" spans="11:11">
      <c r="K1500" s="11">
        <f>IF(OR(A1500="",C1500=""),"",IF(AND(COUNTIF(Responses!$A$6:$A$205,A1500)=1,B1500&lt;&gt;"",COUNTIFS($A$6:$A$2005,A1500,$B$6:$B$2005,B1500)=1,OR(F1500="Supported",F1500="Unsupported",F1500="Contradicted"),OR(G1500="Supported",G1500="Wrong citation",G1500="Missing citation"),OR(H1500="Yes",H1500="No"),I1500&lt;&gt;"",OR(F1500&lt;&gt;"Supported",E1500&lt;&gt;""),OR(G1500&lt;&gt;"Supported",AND(F1500="Supported",D1500&lt;&gt;"",E1500&lt;&gt;""))),"Yes","No"))</f>
        <v/>
      </c>
    </row>
    <row r="1501" spans="11:11">
      <c r="K1501" s="11">
        <f>IF(OR(A1501="",C1501=""),"",IF(AND(COUNTIF(Responses!$A$6:$A$205,A1501)=1,B1501&lt;&gt;"",COUNTIFS($A$6:$A$2005,A1501,$B$6:$B$2005,B1501)=1,OR(F1501="Supported",F1501="Unsupported",F1501="Contradicted"),OR(G1501="Supported",G1501="Wrong citation",G1501="Missing citation"),OR(H1501="Yes",H1501="No"),I1501&lt;&gt;"",OR(F1501&lt;&gt;"Supported",E1501&lt;&gt;""),OR(G1501&lt;&gt;"Supported",AND(F1501="Supported",D1501&lt;&gt;"",E1501&lt;&gt;""))),"Yes","No"))</f>
        <v/>
      </c>
    </row>
    <row r="1502" spans="11:11">
      <c r="K1502" s="11">
        <f>IF(OR(A1502="",C1502=""),"",IF(AND(COUNTIF(Responses!$A$6:$A$205,A1502)=1,B1502&lt;&gt;"",COUNTIFS($A$6:$A$2005,A1502,$B$6:$B$2005,B1502)=1,OR(F1502="Supported",F1502="Unsupported",F1502="Contradicted"),OR(G1502="Supported",G1502="Wrong citation",G1502="Missing citation"),OR(H1502="Yes",H1502="No"),I1502&lt;&gt;"",OR(F1502&lt;&gt;"Supported",E1502&lt;&gt;""),OR(G1502&lt;&gt;"Supported",AND(F1502="Supported",D1502&lt;&gt;"",E1502&lt;&gt;""))),"Yes","No"))</f>
        <v/>
      </c>
    </row>
    <row r="1503" spans="11:11">
      <c r="K1503" s="11">
        <f>IF(OR(A1503="",C1503=""),"",IF(AND(COUNTIF(Responses!$A$6:$A$205,A1503)=1,B1503&lt;&gt;"",COUNTIFS($A$6:$A$2005,A1503,$B$6:$B$2005,B1503)=1,OR(F1503="Supported",F1503="Unsupported",F1503="Contradicted"),OR(G1503="Supported",G1503="Wrong citation",G1503="Missing citation"),OR(H1503="Yes",H1503="No"),I1503&lt;&gt;"",OR(F1503&lt;&gt;"Supported",E1503&lt;&gt;""),OR(G1503&lt;&gt;"Supported",AND(F1503="Supported",D1503&lt;&gt;"",E1503&lt;&gt;""))),"Yes","No"))</f>
        <v/>
      </c>
    </row>
    <row r="1504" spans="11:11">
      <c r="K1504" s="11">
        <f>IF(OR(A1504="",C1504=""),"",IF(AND(COUNTIF(Responses!$A$6:$A$205,A1504)=1,B1504&lt;&gt;"",COUNTIFS($A$6:$A$2005,A1504,$B$6:$B$2005,B1504)=1,OR(F1504="Supported",F1504="Unsupported",F1504="Contradicted"),OR(G1504="Supported",G1504="Wrong citation",G1504="Missing citation"),OR(H1504="Yes",H1504="No"),I1504&lt;&gt;"",OR(F1504&lt;&gt;"Supported",E1504&lt;&gt;""),OR(G1504&lt;&gt;"Supported",AND(F1504="Supported",D1504&lt;&gt;"",E1504&lt;&gt;""))),"Yes","No"))</f>
        <v/>
      </c>
    </row>
    <row r="1505" spans="11:11">
      <c r="K1505" s="11">
        <f>IF(OR(A1505="",C1505=""),"",IF(AND(COUNTIF(Responses!$A$6:$A$205,A1505)=1,B1505&lt;&gt;"",COUNTIFS($A$6:$A$2005,A1505,$B$6:$B$2005,B1505)=1,OR(F1505="Supported",F1505="Unsupported",F1505="Contradicted"),OR(G1505="Supported",G1505="Wrong citation",G1505="Missing citation"),OR(H1505="Yes",H1505="No"),I1505&lt;&gt;"",OR(F1505&lt;&gt;"Supported",E1505&lt;&gt;""),OR(G1505&lt;&gt;"Supported",AND(F1505="Supported",D1505&lt;&gt;"",E1505&lt;&gt;""))),"Yes","No"))</f>
        <v/>
      </c>
    </row>
    <row r="1506" spans="11:11">
      <c r="K1506" s="11">
        <f>IF(OR(A1506="",C1506=""),"",IF(AND(COUNTIF(Responses!$A$6:$A$205,A1506)=1,B1506&lt;&gt;"",COUNTIFS($A$6:$A$2005,A1506,$B$6:$B$2005,B1506)=1,OR(F1506="Supported",F1506="Unsupported",F1506="Contradicted"),OR(G1506="Supported",G1506="Wrong citation",G1506="Missing citation"),OR(H1506="Yes",H1506="No"),I1506&lt;&gt;"",OR(F1506&lt;&gt;"Supported",E1506&lt;&gt;""),OR(G1506&lt;&gt;"Supported",AND(F1506="Supported",D1506&lt;&gt;"",E1506&lt;&gt;""))),"Yes","No"))</f>
        <v/>
      </c>
    </row>
    <row r="1507" spans="11:11">
      <c r="K1507" s="11">
        <f>IF(OR(A1507="",C1507=""),"",IF(AND(COUNTIF(Responses!$A$6:$A$205,A1507)=1,B1507&lt;&gt;"",COUNTIFS($A$6:$A$2005,A1507,$B$6:$B$2005,B1507)=1,OR(F1507="Supported",F1507="Unsupported",F1507="Contradicted"),OR(G1507="Supported",G1507="Wrong citation",G1507="Missing citation"),OR(H1507="Yes",H1507="No"),I1507&lt;&gt;"",OR(F1507&lt;&gt;"Supported",E1507&lt;&gt;""),OR(G1507&lt;&gt;"Supported",AND(F1507="Supported",D1507&lt;&gt;"",E1507&lt;&gt;""))),"Yes","No"))</f>
        <v/>
      </c>
    </row>
    <row r="1508" spans="11:11">
      <c r="K1508" s="11">
        <f>IF(OR(A1508="",C1508=""),"",IF(AND(COUNTIF(Responses!$A$6:$A$205,A1508)=1,B1508&lt;&gt;"",COUNTIFS($A$6:$A$2005,A1508,$B$6:$B$2005,B1508)=1,OR(F1508="Supported",F1508="Unsupported",F1508="Contradicted"),OR(G1508="Supported",G1508="Wrong citation",G1508="Missing citation"),OR(H1508="Yes",H1508="No"),I1508&lt;&gt;"",OR(F1508&lt;&gt;"Supported",E1508&lt;&gt;""),OR(G1508&lt;&gt;"Supported",AND(F1508="Supported",D1508&lt;&gt;"",E1508&lt;&gt;""))),"Yes","No"))</f>
        <v/>
      </c>
    </row>
    <row r="1509" spans="11:11">
      <c r="K1509" s="11">
        <f>IF(OR(A1509="",C1509=""),"",IF(AND(COUNTIF(Responses!$A$6:$A$205,A1509)=1,B1509&lt;&gt;"",COUNTIFS($A$6:$A$2005,A1509,$B$6:$B$2005,B1509)=1,OR(F1509="Supported",F1509="Unsupported",F1509="Contradicted"),OR(G1509="Supported",G1509="Wrong citation",G1509="Missing citation"),OR(H1509="Yes",H1509="No"),I1509&lt;&gt;"",OR(F1509&lt;&gt;"Supported",E1509&lt;&gt;""),OR(G1509&lt;&gt;"Supported",AND(F1509="Supported",D1509&lt;&gt;"",E1509&lt;&gt;""))),"Yes","No"))</f>
        <v/>
      </c>
    </row>
    <row r="1510" spans="11:11">
      <c r="K1510" s="11">
        <f>IF(OR(A1510="",C1510=""),"",IF(AND(COUNTIF(Responses!$A$6:$A$205,A1510)=1,B1510&lt;&gt;"",COUNTIFS($A$6:$A$2005,A1510,$B$6:$B$2005,B1510)=1,OR(F1510="Supported",F1510="Unsupported",F1510="Contradicted"),OR(G1510="Supported",G1510="Wrong citation",G1510="Missing citation"),OR(H1510="Yes",H1510="No"),I1510&lt;&gt;"",OR(F1510&lt;&gt;"Supported",E1510&lt;&gt;""),OR(G1510&lt;&gt;"Supported",AND(F1510="Supported",D1510&lt;&gt;"",E1510&lt;&gt;""))),"Yes","No"))</f>
        <v/>
      </c>
    </row>
    <row r="1511" spans="11:11">
      <c r="K1511" s="11">
        <f>IF(OR(A1511="",C1511=""),"",IF(AND(COUNTIF(Responses!$A$6:$A$205,A1511)=1,B1511&lt;&gt;"",COUNTIFS($A$6:$A$2005,A1511,$B$6:$B$2005,B1511)=1,OR(F1511="Supported",F1511="Unsupported",F1511="Contradicted"),OR(G1511="Supported",G1511="Wrong citation",G1511="Missing citation"),OR(H1511="Yes",H1511="No"),I1511&lt;&gt;"",OR(F1511&lt;&gt;"Supported",E1511&lt;&gt;""),OR(G1511&lt;&gt;"Supported",AND(F1511="Supported",D1511&lt;&gt;"",E1511&lt;&gt;""))),"Yes","No"))</f>
        <v/>
      </c>
    </row>
    <row r="1512" spans="11:11">
      <c r="K1512" s="11">
        <f>IF(OR(A1512="",C1512=""),"",IF(AND(COUNTIF(Responses!$A$6:$A$205,A1512)=1,B1512&lt;&gt;"",COUNTIFS($A$6:$A$2005,A1512,$B$6:$B$2005,B1512)=1,OR(F1512="Supported",F1512="Unsupported",F1512="Contradicted"),OR(G1512="Supported",G1512="Wrong citation",G1512="Missing citation"),OR(H1512="Yes",H1512="No"),I1512&lt;&gt;"",OR(F1512&lt;&gt;"Supported",E1512&lt;&gt;""),OR(G1512&lt;&gt;"Supported",AND(F1512="Supported",D1512&lt;&gt;"",E1512&lt;&gt;""))),"Yes","No"))</f>
        <v/>
      </c>
    </row>
    <row r="1513" spans="11:11">
      <c r="K1513" s="11">
        <f>IF(OR(A1513="",C1513=""),"",IF(AND(COUNTIF(Responses!$A$6:$A$205,A1513)=1,B1513&lt;&gt;"",COUNTIFS($A$6:$A$2005,A1513,$B$6:$B$2005,B1513)=1,OR(F1513="Supported",F1513="Unsupported",F1513="Contradicted"),OR(G1513="Supported",G1513="Wrong citation",G1513="Missing citation"),OR(H1513="Yes",H1513="No"),I1513&lt;&gt;"",OR(F1513&lt;&gt;"Supported",E1513&lt;&gt;""),OR(G1513&lt;&gt;"Supported",AND(F1513="Supported",D1513&lt;&gt;"",E1513&lt;&gt;""))),"Yes","No"))</f>
        <v/>
      </c>
    </row>
    <row r="1514" spans="11:11">
      <c r="K1514" s="11">
        <f>IF(OR(A1514="",C1514=""),"",IF(AND(COUNTIF(Responses!$A$6:$A$205,A1514)=1,B1514&lt;&gt;"",COUNTIFS($A$6:$A$2005,A1514,$B$6:$B$2005,B1514)=1,OR(F1514="Supported",F1514="Unsupported",F1514="Contradicted"),OR(G1514="Supported",G1514="Wrong citation",G1514="Missing citation"),OR(H1514="Yes",H1514="No"),I1514&lt;&gt;"",OR(F1514&lt;&gt;"Supported",E1514&lt;&gt;""),OR(G1514&lt;&gt;"Supported",AND(F1514="Supported",D1514&lt;&gt;"",E1514&lt;&gt;""))),"Yes","No"))</f>
        <v/>
      </c>
    </row>
    <row r="1515" spans="11:11">
      <c r="K1515" s="11">
        <f>IF(OR(A1515="",C1515=""),"",IF(AND(COUNTIF(Responses!$A$6:$A$205,A1515)=1,B1515&lt;&gt;"",COUNTIFS($A$6:$A$2005,A1515,$B$6:$B$2005,B1515)=1,OR(F1515="Supported",F1515="Unsupported",F1515="Contradicted"),OR(G1515="Supported",G1515="Wrong citation",G1515="Missing citation"),OR(H1515="Yes",H1515="No"),I1515&lt;&gt;"",OR(F1515&lt;&gt;"Supported",E1515&lt;&gt;""),OR(G1515&lt;&gt;"Supported",AND(F1515="Supported",D1515&lt;&gt;"",E1515&lt;&gt;""))),"Yes","No"))</f>
        <v/>
      </c>
    </row>
    <row r="1516" spans="11:11">
      <c r="K1516" s="11">
        <f>IF(OR(A1516="",C1516=""),"",IF(AND(COUNTIF(Responses!$A$6:$A$205,A1516)=1,B1516&lt;&gt;"",COUNTIFS($A$6:$A$2005,A1516,$B$6:$B$2005,B1516)=1,OR(F1516="Supported",F1516="Unsupported",F1516="Contradicted"),OR(G1516="Supported",G1516="Wrong citation",G1516="Missing citation"),OR(H1516="Yes",H1516="No"),I1516&lt;&gt;"",OR(F1516&lt;&gt;"Supported",E1516&lt;&gt;""),OR(G1516&lt;&gt;"Supported",AND(F1516="Supported",D1516&lt;&gt;"",E1516&lt;&gt;""))),"Yes","No"))</f>
        <v/>
      </c>
    </row>
    <row r="1517" spans="11:11">
      <c r="K1517" s="11">
        <f>IF(OR(A1517="",C1517=""),"",IF(AND(COUNTIF(Responses!$A$6:$A$205,A1517)=1,B1517&lt;&gt;"",COUNTIFS($A$6:$A$2005,A1517,$B$6:$B$2005,B1517)=1,OR(F1517="Supported",F1517="Unsupported",F1517="Contradicted"),OR(G1517="Supported",G1517="Wrong citation",G1517="Missing citation"),OR(H1517="Yes",H1517="No"),I1517&lt;&gt;"",OR(F1517&lt;&gt;"Supported",E1517&lt;&gt;""),OR(G1517&lt;&gt;"Supported",AND(F1517="Supported",D1517&lt;&gt;"",E1517&lt;&gt;""))),"Yes","No"))</f>
        <v/>
      </c>
    </row>
    <row r="1518" spans="11:11">
      <c r="K1518" s="11">
        <f>IF(OR(A1518="",C1518=""),"",IF(AND(COUNTIF(Responses!$A$6:$A$205,A1518)=1,B1518&lt;&gt;"",COUNTIFS($A$6:$A$2005,A1518,$B$6:$B$2005,B1518)=1,OR(F1518="Supported",F1518="Unsupported",F1518="Contradicted"),OR(G1518="Supported",G1518="Wrong citation",G1518="Missing citation"),OR(H1518="Yes",H1518="No"),I1518&lt;&gt;"",OR(F1518&lt;&gt;"Supported",E1518&lt;&gt;""),OR(G1518&lt;&gt;"Supported",AND(F1518="Supported",D1518&lt;&gt;"",E1518&lt;&gt;""))),"Yes","No"))</f>
        <v/>
      </c>
    </row>
    <row r="1519" spans="11:11">
      <c r="K1519" s="11">
        <f>IF(OR(A1519="",C1519=""),"",IF(AND(COUNTIF(Responses!$A$6:$A$205,A1519)=1,B1519&lt;&gt;"",COUNTIFS($A$6:$A$2005,A1519,$B$6:$B$2005,B1519)=1,OR(F1519="Supported",F1519="Unsupported",F1519="Contradicted"),OR(G1519="Supported",G1519="Wrong citation",G1519="Missing citation"),OR(H1519="Yes",H1519="No"),I1519&lt;&gt;"",OR(F1519&lt;&gt;"Supported",E1519&lt;&gt;""),OR(G1519&lt;&gt;"Supported",AND(F1519="Supported",D1519&lt;&gt;"",E1519&lt;&gt;""))),"Yes","No"))</f>
        <v/>
      </c>
    </row>
    <row r="1520" spans="11:11">
      <c r="K1520" s="11">
        <f>IF(OR(A1520="",C1520=""),"",IF(AND(COUNTIF(Responses!$A$6:$A$205,A1520)=1,B1520&lt;&gt;"",COUNTIFS($A$6:$A$2005,A1520,$B$6:$B$2005,B1520)=1,OR(F1520="Supported",F1520="Unsupported",F1520="Contradicted"),OR(G1520="Supported",G1520="Wrong citation",G1520="Missing citation"),OR(H1520="Yes",H1520="No"),I1520&lt;&gt;"",OR(F1520&lt;&gt;"Supported",E1520&lt;&gt;""),OR(G1520&lt;&gt;"Supported",AND(F1520="Supported",D1520&lt;&gt;"",E1520&lt;&gt;""))),"Yes","No"))</f>
        <v/>
      </c>
    </row>
    <row r="1521" spans="11:11">
      <c r="K1521" s="11">
        <f>IF(OR(A1521="",C1521=""),"",IF(AND(COUNTIF(Responses!$A$6:$A$205,A1521)=1,B1521&lt;&gt;"",COUNTIFS($A$6:$A$2005,A1521,$B$6:$B$2005,B1521)=1,OR(F1521="Supported",F1521="Unsupported",F1521="Contradicted"),OR(G1521="Supported",G1521="Wrong citation",G1521="Missing citation"),OR(H1521="Yes",H1521="No"),I1521&lt;&gt;"",OR(F1521&lt;&gt;"Supported",E1521&lt;&gt;""),OR(G1521&lt;&gt;"Supported",AND(F1521="Supported",D1521&lt;&gt;"",E1521&lt;&gt;""))),"Yes","No"))</f>
        <v/>
      </c>
    </row>
    <row r="1522" spans="11:11">
      <c r="K1522" s="11">
        <f>IF(OR(A1522="",C1522=""),"",IF(AND(COUNTIF(Responses!$A$6:$A$205,A1522)=1,B1522&lt;&gt;"",COUNTIFS($A$6:$A$2005,A1522,$B$6:$B$2005,B1522)=1,OR(F1522="Supported",F1522="Unsupported",F1522="Contradicted"),OR(G1522="Supported",G1522="Wrong citation",G1522="Missing citation"),OR(H1522="Yes",H1522="No"),I1522&lt;&gt;"",OR(F1522&lt;&gt;"Supported",E1522&lt;&gt;""),OR(G1522&lt;&gt;"Supported",AND(F1522="Supported",D1522&lt;&gt;"",E1522&lt;&gt;""))),"Yes","No"))</f>
        <v/>
      </c>
    </row>
    <row r="1523" spans="11:11">
      <c r="K1523" s="11">
        <f>IF(OR(A1523="",C1523=""),"",IF(AND(COUNTIF(Responses!$A$6:$A$205,A1523)=1,B1523&lt;&gt;"",COUNTIFS($A$6:$A$2005,A1523,$B$6:$B$2005,B1523)=1,OR(F1523="Supported",F1523="Unsupported",F1523="Contradicted"),OR(G1523="Supported",G1523="Wrong citation",G1523="Missing citation"),OR(H1523="Yes",H1523="No"),I1523&lt;&gt;"",OR(F1523&lt;&gt;"Supported",E1523&lt;&gt;""),OR(G1523&lt;&gt;"Supported",AND(F1523="Supported",D1523&lt;&gt;"",E1523&lt;&gt;""))),"Yes","No"))</f>
        <v/>
      </c>
    </row>
    <row r="1524" spans="11:11">
      <c r="K1524" s="11">
        <f>IF(OR(A1524="",C1524=""),"",IF(AND(COUNTIF(Responses!$A$6:$A$205,A1524)=1,B1524&lt;&gt;"",COUNTIFS($A$6:$A$2005,A1524,$B$6:$B$2005,B1524)=1,OR(F1524="Supported",F1524="Unsupported",F1524="Contradicted"),OR(G1524="Supported",G1524="Wrong citation",G1524="Missing citation"),OR(H1524="Yes",H1524="No"),I1524&lt;&gt;"",OR(F1524&lt;&gt;"Supported",E1524&lt;&gt;""),OR(G1524&lt;&gt;"Supported",AND(F1524="Supported",D1524&lt;&gt;"",E1524&lt;&gt;""))),"Yes","No"))</f>
        <v/>
      </c>
    </row>
    <row r="1525" spans="11:11">
      <c r="K1525" s="11">
        <f>IF(OR(A1525="",C1525=""),"",IF(AND(COUNTIF(Responses!$A$6:$A$205,A1525)=1,B1525&lt;&gt;"",COUNTIFS($A$6:$A$2005,A1525,$B$6:$B$2005,B1525)=1,OR(F1525="Supported",F1525="Unsupported",F1525="Contradicted"),OR(G1525="Supported",G1525="Wrong citation",G1525="Missing citation"),OR(H1525="Yes",H1525="No"),I1525&lt;&gt;"",OR(F1525&lt;&gt;"Supported",E1525&lt;&gt;""),OR(G1525&lt;&gt;"Supported",AND(F1525="Supported",D1525&lt;&gt;"",E1525&lt;&gt;""))),"Yes","No"))</f>
        <v/>
      </c>
    </row>
    <row r="1526" spans="11:11">
      <c r="K1526" s="11">
        <f>IF(OR(A1526="",C1526=""),"",IF(AND(COUNTIF(Responses!$A$6:$A$205,A1526)=1,B1526&lt;&gt;"",COUNTIFS($A$6:$A$2005,A1526,$B$6:$B$2005,B1526)=1,OR(F1526="Supported",F1526="Unsupported",F1526="Contradicted"),OR(G1526="Supported",G1526="Wrong citation",G1526="Missing citation"),OR(H1526="Yes",H1526="No"),I1526&lt;&gt;"",OR(F1526&lt;&gt;"Supported",E1526&lt;&gt;""),OR(G1526&lt;&gt;"Supported",AND(F1526="Supported",D1526&lt;&gt;"",E1526&lt;&gt;""))),"Yes","No"))</f>
        <v/>
      </c>
    </row>
    <row r="1527" spans="11:11">
      <c r="K1527" s="11">
        <f>IF(OR(A1527="",C1527=""),"",IF(AND(COUNTIF(Responses!$A$6:$A$205,A1527)=1,B1527&lt;&gt;"",COUNTIFS($A$6:$A$2005,A1527,$B$6:$B$2005,B1527)=1,OR(F1527="Supported",F1527="Unsupported",F1527="Contradicted"),OR(G1527="Supported",G1527="Wrong citation",G1527="Missing citation"),OR(H1527="Yes",H1527="No"),I1527&lt;&gt;"",OR(F1527&lt;&gt;"Supported",E1527&lt;&gt;""),OR(G1527&lt;&gt;"Supported",AND(F1527="Supported",D1527&lt;&gt;"",E1527&lt;&gt;""))),"Yes","No"))</f>
        <v/>
      </c>
    </row>
    <row r="1528" spans="11:11">
      <c r="K1528" s="11">
        <f>IF(OR(A1528="",C1528=""),"",IF(AND(COUNTIF(Responses!$A$6:$A$205,A1528)=1,B1528&lt;&gt;"",COUNTIFS($A$6:$A$2005,A1528,$B$6:$B$2005,B1528)=1,OR(F1528="Supported",F1528="Unsupported",F1528="Contradicted"),OR(G1528="Supported",G1528="Wrong citation",G1528="Missing citation"),OR(H1528="Yes",H1528="No"),I1528&lt;&gt;"",OR(F1528&lt;&gt;"Supported",E1528&lt;&gt;""),OR(G1528&lt;&gt;"Supported",AND(F1528="Supported",D1528&lt;&gt;"",E1528&lt;&gt;""))),"Yes","No"))</f>
        <v/>
      </c>
    </row>
    <row r="1529" spans="11:11">
      <c r="K1529" s="11">
        <f>IF(OR(A1529="",C1529=""),"",IF(AND(COUNTIF(Responses!$A$6:$A$205,A1529)=1,B1529&lt;&gt;"",COUNTIFS($A$6:$A$2005,A1529,$B$6:$B$2005,B1529)=1,OR(F1529="Supported",F1529="Unsupported",F1529="Contradicted"),OR(G1529="Supported",G1529="Wrong citation",G1529="Missing citation"),OR(H1529="Yes",H1529="No"),I1529&lt;&gt;"",OR(F1529&lt;&gt;"Supported",E1529&lt;&gt;""),OR(G1529&lt;&gt;"Supported",AND(F1529="Supported",D1529&lt;&gt;"",E1529&lt;&gt;""))),"Yes","No"))</f>
        <v/>
      </c>
    </row>
    <row r="1530" spans="11:11">
      <c r="K1530" s="11">
        <f>IF(OR(A1530="",C1530=""),"",IF(AND(COUNTIF(Responses!$A$6:$A$205,A1530)=1,B1530&lt;&gt;"",COUNTIFS($A$6:$A$2005,A1530,$B$6:$B$2005,B1530)=1,OR(F1530="Supported",F1530="Unsupported",F1530="Contradicted"),OR(G1530="Supported",G1530="Wrong citation",G1530="Missing citation"),OR(H1530="Yes",H1530="No"),I1530&lt;&gt;"",OR(F1530&lt;&gt;"Supported",E1530&lt;&gt;""),OR(G1530&lt;&gt;"Supported",AND(F1530="Supported",D1530&lt;&gt;"",E1530&lt;&gt;""))),"Yes","No"))</f>
        <v/>
      </c>
    </row>
    <row r="1531" spans="11:11">
      <c r="K1531" s="11">
        <f>IF(OR(A1531="",C1531=""),"",IF(AND(COUNTIF(Responses!$A$6:$A$205,A1531)=1,B1531&lt;&gt;"",COUNTIFS($A$6:$A$2005,A1531,$B$6:$B$2005,B1531)=1,OR(F1531="Supported",F1531="Unsupported",F1531="Contradicted"),OR(G1531="Supported",G1531="Wrong citation",G1531="Missing citation"),OR(H1531="Yes",H1531="No"),I1531&lt;&gt;"",OR(F1531&lt;&gt;"Supported",E1531&lt;&gt;""),OR(G1531&lt;&gt;"Supported",AND(F1531="Supported",D1531&lt;&gt;"",E1531&lt;&gt;""))),"Yes","No"))</f>
        <v/>
      </c>
    </row>
    <row r="1532" spans="11:11">
      <c r="K1532" s="11">
        <f>IF(OR(A1532="",C1532=""),"",IF(AND(COUNTIF(Responses!$A$6:$A$205,A1532)=1,B1532&lt;&gt;"",COUNTIFS($A$6:$A$2005,A1532,$B$6:$B$2005,B1532)=1,OR(F1532="Supported",F1532="Unsupported",F1532="Contradicted"),OR(G1532="Supported",G1532="Wrong citation",G1532="Missing citation"),OR(H1532="Yes",H1532="No"),I1532&lt;&gt;"",OR(F1532&lt;&gt;"Supported",E1532&lt;&gt;""),OR(G1532&lt;&gt;"Supported",AND(F1532="Supported",D1532&lt;&gt;"",E1532&lt;&gt;""))),"Yes","No"))</f>
        <v/>
      </c>
    </row>
    <row r="1533" spans="11:11">
      <c r="K1533" s="11">
        <f>IF(OR(A1533="",C1533=""),"",IF(AND(COUNTIF(Responses!$A$6:$A$205,A1533)=1,B1533&lt;&gt;"",COUNTIFS($A$6:$A$2005,A1533,$B$6:$B$2005,B1533)=1,OR(F1533="Supported",F1533="Unsupported",F1533="Contradicted"),OR(G1533="Supported",G1533="Wrong citation",G1533="Missing citation"),OR(H1533="Yes",H1533="No"),I1533&lt;&gt;"",OR(F1533&lt;&gt;"Supported",E1533&lt;&gt;""),OR(G1533&lt;&gt;"Supported",AND(F1533="Supported",D1533&lt;&gt;"",E1533&lt;&gt;""))),"Yes","No"))</f>
        <v/>
      </c>
    </row>
    <row r="1534" spans="11:11">
      <c r="K1534" s="11">
        <f>IF(OR(A1534="",C1534=""),"",IF(AND(COUNTIF(Responses!$A$6:$A$205,A1534)=1,B1534&lt;&gt;"",COUNTIFS($A$6:$A$2005,A1534,$B$6:$B$2005,B1534)=1,OR(F1534="Supported",F1534="Unsupported",F1534="Contradicted"),OR(G1534="Supported",G1534="Wrong citation",G1534="Missing citation"),OR(H1534="Yes",H1534="No"),I1534&lt;&gt;"",OR(F1534&lt;&gt;"Supported",E1534&lt;&gt;""),OR(G1534&lt;&gt;"Supported",AND(F1534="Supported",D1534&lt;&gt;"",E1534&lt;&gt;""))),"Yes","No"))</f>
        <v/>
      </c>
    </row>
    <row r="1535" spans="11:11">
      <c r="K1535" s="11">
        <f>IF(OR(A1535="",C1535=""),"",IF(AND(COUNTIF(Responses!$A$6:$A$205,A1535)=1,B1535&lt;&gt;"",COUNTIFS($A$6:$A$2005,A1535,$B$6:$B$2005,B1535)=1,OR(F1535="Supported",F1535="Unsupported",F1535="Contradicted"),OR(G1535="Supported",G1535="Wrong citation",G1535="Missing citation"),OR(H1535="Yes",H1535="No"),I1535&lt;&gt;"",OR(F1535&lt;&gt;"Supported",E1535&lt;&gt;""),OR(G1535&lt;&gt;"Supported",AND(F1535="Supported",D1535&lt;&gt;"",E1535&lt;&gt;""))),"Yes","No"))</f>
        <v/>
      </c>
    </row>
    <row r="1536" spans="11:11">
      <c r="K1536" s="11">
        <f>IF(OR(A1536="",C1536=""),"",IF(AND(COUNTIF(Responses!$A$6:$A$205,A1536)=1,B1536&lt;&gt;"",COUNTIFS($A$6:$A$2005,A1536,$B$6:$B$2005,B1536)=1,OR(F1536="Supported",F1536="Unsupported",F1536="Contradicted"),OR(G1536="Supported",G1536="Wrong citation",G1536="Missing citation"),OR(H1536="Yes",H1536="No"),I1536&lt;&gt;"",OR(F1536&lt;&gt;"Supported",E1536&lt;&gt;""),OR(G1536&lt;&gt;"Supported",AND(F1536="Supported",D1536&lt;&gt;"",E1536&lt;&gt;""))),"Yes","No"))</f>
        <v/>
      </c>
    </row>
    <row r="1537" spans="11:11">
      <c r="K1537" s="11">
        <f>IF(OR(A1537="",C1537=""),"",IF(AND(COUNTIF(Responses!$A$6:$A$205,A1537)=1,B1537&lt;&gt;"",COUNTIFS($A$6:$A$2005,A1537,$B$6:$B$2005,B1537)=1,OR(F1537="Supported",F1537="Unsupported",F1537="Contradicted"),OR(G1537="Supported",G1537="Wrong citation",G1537="Missing citation"),OR(H1537="Yes",H1537="No"),I1537&lt;&gt;"",OR(F1537&lt;&gt;"Supported",E1537&lt;&gt;""),OR(G1537&lt;&gt;"Supported",AND(F1537="Supported",D1537&lt;&gt;"",E1537&lt;&gt;""))),"Yes","No"))</f>
        <v/>
      </c>
    </row>
    <row r="1538" spans="11:11">
      <c r="K1538" s="11">
        <f>IF(OR(A1538="",C1538=""),"",IF(AND(COUNTIF(Responses!$A$6:$A$205,A1538)=1,B1538&lt;&gt;"",COUNTIFS($A$6:$A$2005,A1538,$B$6:$B$2005,B1538)=1,OR(F1538="Supported",F1538="Unsupported",F1538="Contradicted"),OR(G1538="Supported",G1538="Wrong citation",G1538="Missing citation"),OR(H1538="Yes",H1538="No"),I1538&lt;&gt;"",OR(F1538&lt;&gt;"Supported",E1538&lt;&gt;""),OR(G1538&lt;&gt;"Supported",AND(F1538="Supported",D1538&lt;&gt;"",E1538&lt;&gt;""))),"Yes","No"))</f>
        <v/>
      </c>
    </row>
    <row r="1539" spans="11:11">
      <c r="K1539" s="11">
        <f>IF(OR(A1539="",C1539=""),"",IF(AND(COUNTIF(Responses!$A$6:$A$205,A1539)=1,B1539&lt;&gt;"",COUNTIFS($A$6:$A$2005,A1539,$B$6:$B$2005,B1539)=1,OR(F1539="Supported",F1539="Unsupported",F1539="Contradicted"),OR(G1539="Supported",G1539="Wrong citation",G1539="Missing citation"),OR(H1539="Yes",H1539="No"),I1539&lt;&gt;"",OR(F1539&lt;&gt;"Supported",E1539&lt;&gt;""),OR(G1539&lt;&gt;"Supported",AND(F1539="Supported",D1539&lt;&gt;"",E1539&lt;&gt;""))),"Yes","No"))</f>
        <v/>
      </c>
    </row>
    <row r="1540" spans="11:11">
      <c r="K1540" s="11">
        <f>IF(OR(A1540="",C1540=""),"",IF(AND(COUNTIF(Responses!$A$6:$A$205,A1540)=1,B1540&lt;&gt;"",COUNTIFS($A$6:$A$2005,A1540,$B$6:$B$2005,B1540)=1,OR(F1540="Supported",F1540="Unsupported",F1540="Contradicted"),OR(G1540="Supported",G1540="Wrong citation",G1540="Missing citation"),OR(H1540="Yes",H1540="No"),I1540&lt;&gt;"",OR(F1540&lt;&gt;"Supported",E1540&lt;&gt;""),OR(G1540&lt;&gt;"Supported",AND(F1540="Supported",D1540&lt;&gt;"",E1540&lt;&gt;""))),"Yes","No"))</f>
        <v/>
      </c>
    </row>
    <row r="1541" spans="11:11">
      <c r="K1541" s="11">
        <f>IF(OR(A1541="",C1541=""),"",IF(AND(COUNTIF(Responses!$A$6:$A$205,A1541)=1,B1541&lt;&gt;"",COUNTIFS($A$6:$A$2005,A1541,$B$6:$B$2005,B1541)=1,OR(F1541="Supported",F1541="Unsupported",F1541="Contradicted"),OR(G1541="Supported",G1541="Wrong citation",G1541="Missing citation"),OR(H1541="Yes",H1541="No"),I1541&lt;&gt;"",OR(F1541&lt;&gt;"Supported",E1541&lt;&gt;""),OR(G1541&lt;&gt;"Supported",AND(F1541="Supported",D1541&lt;&gt;"",E1541&lt;&gt;""))),"Yes","No"))</f>
        <v/>
      </c>
    </row>
    <row r="1542" spans="11:11">
      <c r="K1542" s="11">
        <f>IF(OR(A1542="",C1542=""),"",IF(AND(COUNTIF(Responses!$A$6:$A$205,A1542)=1,B1542&lt;&gt;"",COUNTIFS($A$6:$A$2005,A1542,$B$6:$B$2005,B1542)=1,OR(F1542="Supported",F1542="Unsupported",F1542="Contradicted"),OR(G1542="Supported",G1542="Wrong citation",G1542="Missing citation"),OR(H1542="Yes",H1542="No"),I1542&lt;&gt;"",OR(F1542&lt;&gt;"Supported",E1542&lt;&gt;""),OR(G1542&lt;&gt;"Supported",AND(F1542="Supported",D1542&lt;&gt;"",E1542&lt;&gt;""))),"Yes","No"))</f>
        <v/>
      </c>
    </row>
    <row r="1543" spans="11:11">
      <c r="K1543" s="11">
        <f>IF(OR(A1543="",C1543=""),"",IF(AND(COUNTIF(Responses!$A$6:$A$205,A1543)=1,B1543&lt;&gt;"",COUNTIFS($A$6:$A$2005,A1543,$B$6:$B$2005,B1543)=1,OR(F1543="Supported",F1543="Unsupported",F1543="Contradicted"),OR(G1543="Supported",G1543="Wrong citation",G1543="Missing citation"),OR(H1543="Yes",H1543="No"),I1543&lt;&gt;"",OR(F1543&lt;&gt;"Supported",E1543&lt;&gt;""),OR(G1543&lt;&gt;"Supported",AND(F1543="Supported",D1543&lt;&gt;"",E1543&lt;&gt;""))),"Yes","No"))</f>
        <v/>
      </c>
    </row>
    <row r="1544" spans="11:11">
      <c r="K1544" s="11">
        <f>IF(OR(A1544="",C1544=""),"",IF(AND(COUNTIF(Responses!$A$6:$A$205,A1544)=1,B1544&lt;&gt;"",COUNTIFS($A$6:$A$2005,A1544,$B$6:$B$2005,B1544)=1,OR(F1544="Supported",F1544="Unsupported",F1544="Contradicted"),OR(G1544="Supported",G1544="Wrong citation",G1544="Missing citation"),OR(H1544="Yes",H1544="No"),I1544&lt;&gt;"",OR(F1544&lt;&gt;"Supported",E1544&lt;&gt;""),OR(G1544&lt;&gt;"Supported",AND(F1544="Supported",D1544&lt;&gt;"",E1544&lt;&gt;""))),"Yes","No"))</f>
        <v/>
      </c>
    </row>
    <row r="1545" spans="11:11">
      <c r="K1545" s="11">
        <f>IF(OR(A1545="",C1545=""),"",IF(AND(COUNTIF(Responses!$A$6:$A$205,A1545)=1,B1545&lt;&gt;"",COUNTIFS($A$6:$A$2005,A1545,$B$6:$B$2005,B1545)=1,OR(F1545="Supported",F1545="Unsupported",F1545="Contradicted"),OR(G1545="Supported",G1545="Wrong citation",G1545="Missing citation"),OR(H1545="Yes",H1545="No"),I1545&lt;&gt;"",OR(F1545&lt;&gt;"Supported",E1545&lt;&gt;""),OR(G1545&lt;&gt;"Supported",AND(F1545="Supported",D1545&lt;&gt;"",E1545&lt;&gt;""))),"Yes","No"))</f>
        <v/>
      </c>
    </row>
    <row r="1546" spans="11:11">
      <c r="K1546" s="11">
        <f>IF(OR(A1546="",C1546=""),"",IF(AND(COUNTIF(Responses!$A$6:$A$205,A1546)=1,B1546&lt;&gt;"",COUNTIFS($A$6:$A$2005,A1546,$B$6:$B$2005,B1546)=1,OR(F1546="Supported",F1546="Unsupported",F1546="Contradicted"),OR(G1546="Supported",G1546="Wrong citation",G1546="Missing citation"),OR(H1546="Yes",H1546="No"),I1546&lt;&gt;"",OR(F1546&lt;&gt;"Supported",E1546&lt;&gt;""),OR(G1546&lt;&gt;"Supported",AND(F1546="Supported",D1546&lt;&gt;"",E1546&lt;&gt;""))),"Yes","No"))</f>
        <v/>
      </c>
    </row>
    <row r="1547" spans="11:11">
      <c r="K1547" s="11">
        <f>IF(OR(A1547="",C1547=""),"",IF(AND(COUNTIF(Responses!$A$6:$A$205,A1547)=1,B1547&lt;&gt;"",COUNTIFS($A$6:$A$2005,A1547,$B$6:$B$2005,B1547)=1,OR(F1547="Supported",F1547="Unsupported",F1547="Contradicted"),OR(G1547="Supported",G1547="Wrong citation",G1547="Missing citation"),OR(H1547="Yes",H1547="No"),I1547&lt;&gt;"",OR(F1547&lt;&gt;"Supported",E1547&lt;&gt;""),OR(G1547&lt;&gt;"Supported",AND(F1547="Supported",D1547&lt;&gt;"",E1547&lt;&gt;""))),"Yes","No"))</f>
        <v/>
      </c>
    </row>
    <row r="1548" spans="11:11">
      <c r="K1548" s="11">
        <f>IF(OR(A1548="",C1548=""),"",IF(AND(COUNTIF(Responses!$A$6:$A$205,A1548)=1,B1548&lt;&gt;"",COUNTIFS($A$6:$A$2005,A1548,$B$6:$B$2005,B1548)=1,OR(F1548="Supported",F1548="Unsupported",F1548="Contradicted"),OR(G1548="Supported",G1548="Wrong citation",G1548="Missing citation"),OR(H1548="Yes",H1548="No"),I1548&lt;&gt;"",OR(F1548&lt;&gt;"Supported",E1548&lt;&gt;""),OR(G1548&lt;&gt;"Supported",AND(F1548="Supported",D1548&lt;&gt;"",E1548&lt;&gt;""))),"Yes","No"))</f>
        <v/>
      </c>
    </row>
    <row r="1549" spans="11:11">
      <c r="K1549" s="11">
        <f>IF(OR(A1549="",C1549=""),"",IF(AND(COUNTIF(Responses!$A$6:$A$205,A1549)=1,B1549&lt;&gt;"",COUNTIFS($A$6:$A$2005,A1549,$B$6:$B$2005,B1549)=1,OR(F1549="Supported",F1549="Unsupported",F1549="Contradicted"),OR(G1549="Supported",G1549="Wrong citation",G1549="Missing citation"),OR(H1549="Yes",H1549="No"),I1549&lt;&gt;"",OR(F1549&lt;&gt;"Supported",E1549&lt;&gt;""),OR(G1549&lt;&gt;"Supported",AND(F1549="Supported",D1549&lt;&gt;"",E1549&lt;&gt;""))),"Yes","No"))</f>
        <v/>
      </c>
    </row>
    <row r="1550" spans="11:11">
      <c r="K1550" s="11">
        <f>IF(OR(A1550="",C1550=""),"",IF(AND(COUNTIF(Responses!$A$6:$A$205,A1550)=1,B1550&lt;&gt;"",COUNTIFS($A$6:$A$2005,A1550,$B$6:$B$2005,B1550)=1,OR(F1550="Supported",F1550="Unsupported",F1550="Contradicted"),OR(G1550="Supported",G1550="Wrong citation",G1550="Missing citation"),OR(H1550="Yes",H1550="No"),I1550&lt;&gt;"",OR(F1550&lt;&gt;"Supported",E1550&lt;&gt;""),OR(G1550&lt;&gt;"Supported",AND(F1550="Supported",D1550&lt;&gt;"",E1550&lt;&gt;""))),"Yes","No"))</f>
        <v/>
      </c>
    </row>
    <row r="1551" spans="11:11">
      <c r="K1551" s="11">
        <f>IF(OR(A1551="",C1551=""),"",IF(AND(COUNTIF(Responses!$A$6:$A$205,A1551)=1,B1551&lt;&gt;"",COUNTIFS($A$6:$A$2005,A1551,$B$6:$B$2005,B1551)=1,OR(F1551="Supported",F1551="Unsupported",F1551="Contradicted"),OR(G1551="Supported",G1551="Wrong citation",G1551="Missing citation"),OR(H1551="Yes",H1551="No"),I1551&lt;&gt;"",OR(F1551&lt;&gt;"Supported",E1551&lt;&gt;""),OR(G1551&lt;&gt;"Supported",AND(F1551="Supported",D1551&lt;&gt;"",E1551&lt;&gt;""))),"Yes","No"))</f>
        <v/>
      </c>
    </row>
    <row r="1552" spans="11:11">
      <c r="K1552" s="11">
        <f>IF(OR(A1552="",C1552=""),"",IF(AND(COUNTIF(Responses!$A$6:$A$205,A1552)=1,B1552&lt;&gt;"",COUNTIFS($A$6:$A$2005,A1552,$B$6:$B$2005,B1552)=1,OR(F1552="Supported",F1552="Unsupported",F1552="Contradicted"),OR(G1552="Supported",G1552="Wrong citation",G1552="Missing citation"),OR(H1552="Yes",H1552="No"),I1552&lt;&gt;"",OR(F1552&lt;&gt;"Supported",E1552&lt;&gt;""),OR(G1552&lt;&gt;"Supported",AND(F1552="Supported",D1552&lt;&gt;"",E1552&lt;&gt;""))),"Yes","No"))</f>
        <v/>
      </c>
    </row>
    <row r="1553" spans="11:11">
      <c r="K1553" s="11">
        <f>IF(OR(A1553="",C1553=""),"",IF(AND(COUNTIF(Responses!$A$6:$A$205,A1553)=1,B1553&lt;&gt;"",COUNTIFS($A$6:$A$2005,A1553,$B$6:$B$2005,B1553)=1,OR(F1553="Supported",F1553="Unsupported",F1553="Contradicted"),OR(G1553="Supported",G1553="Wrong citation",G1553="Missing citation"),OR(H1553="Yes",H1553="No"),I1553&lt;&gt;"",OR(F1553&lt;&gt;"Supported",E1553&lt;&gt;""),OR(G1553&lt;&gt;"Supported",AND(F1553="Supported",D1553&lt;&gt;"",E1553&lt;&gt;""))),"Yes","No"))</f>
        <v/>
      </c>
    </row>
    <row r="1554" spans="11:11">
      <c r="K1554" s="11">
        <f>IF(OR(A1554="",C1554=""),"",IF(AND(COUNTIF(Responses!$A$6:$A$205,A1554)=1,B1554&lt;&gt;"",COUNTIFS($A$6:$A$2005,A1554,$B$6:$B$2005,B1554)=1,OR(F1554="Supported",F1554="Unsupported",F1554="Contradicted"),OR(G1554="Supported",G1554="Wrong citation",G1554="Missing citation"),OR(H1554="Yes",H1554="No"),I1554&lt;&gt;"",OR(F1554&lt;&gt;"Supported",E1554&lt;&gt;""),OR(G1554&lt;&gt;"Supported",AND(F1554="Supported",D1554&lt;&gt;"",E1554&lt;&gt;""))),"Yes","No"))</f>
        <v/>
      </c>
    </row>
    <row r="1555" spans="11:11">
      <c r="K1555" s="11">
        <f>IF(OR(A1555="",C1555=""),"",IF(AND(COUNTIF(Responses!$A$6:$A$205,A1555)=1,B1555&lt;&gt;"",COUNTIFS($A$6:$A$2005,A1555,$B$6:$B$2005,B1555)=1,OR(F1555="Supported",F1555="Unsupported",F1555="Contradicted"),OR(G1555="Supported",G1555="Wrong citation",G1555="Missing citation"),OR(H1555="Yes",H1555="No"),I1555&lt;&gt;"",OR(F1555&lt;&gt;"Supported",E1555&lt;&gt;""),OR(G1555&lt;&gt;"Supported",AND(F1555="Supported",D1555&lt;&gt;"",E1555&lt;&gt;""))),"Yes","No"))</f>
        <v/>
      </c>
    </row>
    <row r="1556" spans="11:11">
      <c r="K1556" s="11">
        <f>IF(OR(A1556="",C1556=""),"",IF(AND(COUNTIF(Responses!$A$6:$A$205,A1556)=1,B1556&lt;&gt;"",COUNTIFS($A$6:$A$2005,A1556,$B$6:$B$2005,B1556)=1,OR(F1556="Supported",F1556="Unsupported",F1556="Contradicted"),OR(G1556="Supported",G1556="Wrong citation",G1556="Missing citation"),OR(H1556="Yes",H1556="No"),I1556&lt;&gt;"",OR(F1556&lt;&gt;"Supported",E1556&lt;&gt;""),OR(G1556&lt;&gt;"Supported",AND(F1556="Supported",D1556&lt;&gt;"",E1556&lt;&gt;""))),"Yes","No"))</f>
        <v/>
      </c>
    </row>
    <row r="1557" spans="11:11">
      <c r="K1557" s="11">
        <f>IF(OR(A1557="",C1557=""),"",IF(AND(COUNTIF(Responses!$A$6:$A$205,A1557)=1,B1557&lt;&gt;"",COUNTIFS($A$6:$A$2005,A1557,$B$6:$B$2005,B1557)=1,OR(F1557="Supported",F1557="Unsupported",F1557="Contradicted"),OR(G1557="Supported",G1557="Wrong citation",G1557="Missing citation"),OR(H1557="Yes",H1557="No"),I1557&lt;&gt;"",OR(F1557&lt;&gt;"Supported",E1557&lt;&gt;""),OR(G1557&lt;&gt;"Supported",AND(F1557="Supported",D1557&lt;&gt;"",E1557&lt;&gt;""))),"Yes","No"))</f>
        <v/>
      </c>
    </row>
    <row r="1558" spans="11:11">
      <c r="K1558" s="11">
        <f>IF(OR(A1558="",C1558=""),"",IF(AND(COUNTIF(Responses!$A$6:$A$205,A1558)=1,B1558&lt;&gt;"",COUNTIFS($A$6:$A$2005,A1558,$B$6:$B$2005,B1558)=1,OR(F1558="Supported",F1558="Unsupported",F1558="Contradicted"),OR(G1558="Supported",G1558="Wrong citation",G1558="Missing citation"),OR(H1558="Yes",H1558="No"),I1558&lt;&gt;"",OR(F1558&lt;&gt;"Supported",E1558&lt;&gt;""),OR(G1558&lt;&gt;"Supported",AND(F1558="Supported",D1558&lt;&gt;"",E1558&lt;&gt;""))),"Yes","No"))</f>
        <v/>
      </c>
    </row>
    <row r="1559" spans="11:11">
      <c r="K1559" s="11">
        <f>IF(OR(A1559="",C1559=""),"",IF(AND(COUNTIF(Responses!$A$6:$A$205,A1559)=1,B1559&lt;&gt;"",COUNTIFS($A$6:$A$2005,A1559,$B$6:$B$2005,B1559)=1,OR(F1559="Supported",F1559="Unsupported",F1559="Contradicted"),OR(G1559="Supported",G1559="Wrong citation",G1559="Missing citation"),OR(H1559="Yes",H1559="No"),I1559&lt;&gt;"",OR(F1559&lt;&gt;"Supported",E1559&lt;&gt;""),OR(G1559&lt;&gt;"Supported",AND(F1559="Supported",D1559&lt;&gt;"",E1559&lt;&gt;""))),"Yes","No"))</f>
        <v/>
      </c>
    </row>
    <row r="1560" spans="11:11">
      <c r="K1560" s="11">
        <f>IF(OR(A1560="",C1560=""),"",IF(AND(COUNTIF(Responses!$A$6:$A$205,A1560)=1,B1560&lt;&gt;"",COUNTIFS($A$6:$A$2005,A1560,$B$6:$B$2005,B1560)=1,OR(F1560="Supported",F1560="Unsupported",F1560="Contradicted"),OR(G1560="Supported",G1560="Wrong citation",G1560="Missing citation"),OR(H1560="Yes",H1560="No"),I1560&lt;&gt;"",OR(F1560&lt;&gt;"Supported",E1560&lt;&gt;""),OR(G1560&lt;&gt;"Supported",AND(F1560="Supported",D1560&lt;&gt;"",E1560&lt;&gt;""))),"Yes","No"))</f>
        <v/>
      </c>
    </row>
    <row r="1561" spans="11:11">
      <c r="K1561" s="11">
        <f>IF(OR(A1561="",C1561=""),"",IF(AND(COUNTIF(Responses!$A$6:$A$205,A1561)=1,B1561&lt;&gt;"",COUNTIFS($A$6:$A$2005,A1561,$B$6:$B$2005,B1561)=1,OR(F1561="Supported",F1561="Unsupported",F1561="Contradicted"),OR(G1561="Supported",G1561="Wrong citation",G1561="Missing citation"),OR(H1561="Yes",H1561="No"),I1561&lt;&gt;"",OR(F1561&lt;&gt;"Supported",E1561&lt;&gt;""),OR(G1561&lt;&gt;"Supported",AND(F1561="Supported",D1561&lt;&gt;"",E1561&lt;&gt;""))),"Yes","No"))</f>
        <v/>
      </c>
    </row>
    <row r="1562" spans="11:11">
      <c r="K1562" s="11">
        <f>IF(OR(A1562="",C1562=""),"",IF(AND(COUNTIF(Responses!$A$6:$A$205,A1562)=1,B1562&lt;&gt;"",COUNTIFS($A$6:$A$2005,A1562,$B$6:$B$2005,B1562)=1,OR(F1562="Supported",F1562="Unsupported",F1562="Contradicted"),OR(G1562="Supported",G1562="Wrong citation",G1562="Missing citation"),OR(H1562="Yes",H1562="No"),I1562&lt;&gt;"",OR(F1562&lt;&gt;"Supported",E1562&lt;&gt;""),OR(G1562&lt;&gt;"Supported",AND(F1562="Supported",D1562&lt;&gt;"",E1562&lt;&gt;""))),"Yes","No"))</f>
        <v/>
      </c>
    </row>
    <row r="1563" spans="11:11">
      <c r="K1563" s="11">
        <f>IF(OR(A1563="",C1563=""),"",IF(AND(COUNTIF(Responses!$A$6:$A$205,A1563)=1,B1563&lt;&gt;"",COUNTIFS($A$6:$A$2005,A1563,$B$6:$B$2005,B1563)=1,OR(F1563="Supported",F1563="Unsupported",F1563="Contradicted"),OR(G1563="Supported",G1563="Wrong citation",G1563="Missing citation"),OR(H1563="Yes",H1563="No"),I1563&lt;&gt;"",OR(F1563&lt;&gt;"Supported",E1563&lt;&gt;""),OR(G1563&lt;&gt;"Supported",AND(F1563="Supported",D1563&lt;&gt;"",E1563&lt;&gt;""))),"Yes","No"))</f>
        <v/>
      </c>
    </row>
    <row r="1564" spans="11:11">
      <c r="K1564" s="11">
        <f>IF(OR(A1564="",C1564=""),"",IF(AND(COUNTIF(Responses!$A$6:$A$205,A1564)=1,B1564&lt;&gt;"",COUNTIFS($A$6:$A$2005,A1564,$B$6:$B$2005,B1564)=1,OR(F1564="Supported",F1564="Unsupported",F1564="Contradicted"),OR(G1564="Supported",G1564="Wrong citation",G1564="Missing citation"),OR(H1564="Yes",H1564="No"),I1564&lt;&gt;"",OR(F1564&lt;&gt;"Supported",E1564&lt;&gt;""),OR(G1564&lt;&gt;"Supported",AND(F1564="Supported",D1564&lt;&gt;"",E1564&lt;&gt;""))),"Yes","No"))</f>
        <v/>
      </c>
    </row>
    <row r="1565" spans="11:11">
      <c r="K1565" s="11">
        <f>IF(OR(A1565="",C1565=""),"",IF(AND(COUNTIF(Responses!$A$6:$A$205,A1565)=1,B1565&lt;&gt;"",COUNTIFS($A$6:$A$2005,A1565,$B$6:$B$2005,B1565)=1,OR(F1565="Supported",F1565="Unsupported",F1565="Contradicted"),OR(G1565="Supported",G1565="Wrong citation",G1565="Missing citation"),OR(H1565="Yes",H1565="No"),I1565&lt;&gt;"",OR(F1565&lt;&gt;"Supported",E1565&lt;&gt;""),OR(G1565&lt;&gt;"Supported",AND(F1565="Supported",D1565&lt;&gt;"",E1565&lt;&gt;""))),"Yes","No"))</f>
        <v/>
      </c>
    </row>
    <row r="1566" spans="11:11">
      <c r="K1566" s="11">
        <f>IF(OR(A1566="",C1566=""),"",IF(AND(COUNTIF(Responses!$A$6:$A$205,A1566)=1,B1566&lt;&gt;"",COUNTIFS($A$6:$A$2005,A1566,$B$6:$B$2005,B1566)=1,OR(F1566="Supported",F1566="Unsupported",F1566="Contradicted"),OR(G1566="Supported",G1566="Wrong citation",G1566="Missing citation"),OR(H1566="Yes",H1566="No"),I1566&lt;&gt;"",OR(F1566&lt;&gt;"Supported",E1566&lt;&gt;""),OR(G1566&lt;&gt;"Supported",AND(F1566="Supported",D1566&lt;&gt;"",E1566&lt;&gt;""))),"Yes","No"))</f>
        <v/>
      </c>
    </row>
    <row r="1567" spans="11:11">
      <c r="K1567" s="11">
        <f>IF(OR(A1567="",C1567=""),"",IF(AND(COUNTIF(Responses!$A$6:$A$205,A1567)=1,B1567&lt;&gt;"",COUNTIFS($A$6:$A$2005,A1567,$B$6:$B$2005,B1567)=1,OR(F1567="Supported",F1567="Unsupported",F1567="Contradicted"),OR(G1567="Supported",G1567="Wrong citation",G1567="Missing citation"),OR(H1567="Yes",H1567="No"),I1567&lt;&gt;"",OR(F1567&lt;&gt;"Supported",E1567&lt;&gt;""),OR(G1567&lt;&gt;"Supported",AND(F1567="Supported",D1567&lt;&gt;"",E1567&lt;&gt;""))),"Yes","No"))</f>
        <v/>
      </c>
    </row>
    <row r="1568" spans="11:11">
      <c r="K1568" s="11">
        <f>IF(OR(A1568="",C1568=""),"",IF(AND(COUNTIF(Responses!$A$6:$A$205,A1568)=1,B1568&lt;&gt;"",COUNTIFS($A$6:$A$2005,A1568,$B$6:$B$2005,B1568)=1,OR(F1568="Supported",F1568="Unsupported",F1568="Contradicted"),OR(G1568="Supported",G1568="Wrong citation",G1568="Missing citation"),OR(H1568="Yes",H1568="No"),I1568&lt;&gt;"",OR(F1568&lt;&gt;"Supported",E1568&lt;&gt;""),OR(G1568&lt;&gt;"Supported",AND(F1568="Supported",D1568&lt;&gt;"",E1568&lt;&gt;""))),"Yes","No"))</f>
        <v/>
      </c>
    </row>
    <row r="1569" spans="11:11">
      <c r="K1569" s="11">
        <f>IF(OR(A1569="",C1569=""),"",IF(AND(COUNTIF(Responses!$A$6:$A$205,A1569)=1,B1569&lt;&gt;"",COUNTIFS($A$6:$A$2005,A1569,$B$6:$B$2005,B1569)=1,OR(F1569="Supported",F1569="Unsupported",F1569="Contradicted"),OR(G1569="Supported",G1569="Wrong citation",G1569="Missing citation"),OR(H1569="Yes",H1569="No"),I1569&lt;&gt;"",OR(F1569&lt;&gt;"Supported",E1569&lt;&gt;""),OR(G1569&lt;&gt;"Supported",AND(F1569="Supported",D1569&lt;&gt;"",E1569&lt;&gt;""))),"Yes","No"))</f>
        <v/>
      </c>
    </row>
    <row r="1570" spans="11:11">
      <c r="K1570" s="11">
        <f>IF(OR(A1570="",C1570=""),"",IF(AND(COUNTIF(Responses!$A$6:$A$205,A1570)=1,B1570&lt;&gt;"",COUNTIFS($A$6:$A$2005,A1570,$B$6:$B$2005,B1570)=1,OR(F1570="Supported",F1570="Unsupported",F1570="Contradicted"),OR(G1570="Supported",G1570="Wrong citation",G1570="Missing citation"),OR(H1570="Yes",H1570="No"),I1570&lt;&gt;"",OR(F1570&lt;&gt;"Supported",E1570&lt;&gt;""),OR(G1570&lt;&gt;"Supported",AND(F1570="Supported",D1570&lt;&gt;"",E1570&lt;&gt;""))),"Yes","No"))</f>
        <v/>
      </c>
    </row>
    <row r="1571" spans="11:11">
      <c r="K1571" s="11">
        <f>IF(OR(A1571="",C1571=""),"",IF(AND(COUNTIF(Responses!$A$6:$A$205,A1571)=1,B1571&lt;&gt;"",COUNTIFS($A$6:$A$2005,A1571,$B$6:$B$2005,B1571)=1,OR(F1571="Supported",F1571="Unsupported",F1571="Contradicted"),OR(G1571="Supported",G1571="Wrong citation",G1571="Missing citation"),OR(H1571="Yes",H1571="No"),I1571&lt;&gt;"",OR(F1571&lt;&gt;"Supported",E1571&lt;&gt;""),OR(G1571&lt;&gt;"Supported",AND(F1571="Supported",D1571&lt;&gt;"",E1571&lt;&gt;""))),"Yes","No"))</f>
        <v/>
      </c>
    </row>
    <row r="1572" spans="11:11">
      <c r="K1572" s="11">
        <f>IF(OR(A1572="",C1572=""),"",IF(AND(COUNTIF(Responses!$A$6:$A$205,A1572)=1,B1572&lt;&gt;"",COUNTIFS($A$6:$A$2005,A1572,$B$6:$B$2005,B1572)=1,OR(F1572="Supported",F1572="Unsupported",F1572="Contradicted"),OR(G1572="Supported",G1572="Wrong citation",G1572="Missing citation"),OR(H1572="Yes",H1572="No"),I1572&lt;&gt;"",OR(F1572&lt;&gt;"Supported",E1572&lt;&gt;""),OR(G1572&lt;&gt;"Supported",AND(F1572="Supported",D1572&lt;&gt;"",E1572&lt;&gt;""))),"Yes","No"))</f>
        <v/>
      </c>
    </row>
    <row r="1573" spans="11:11">
      <c r="K1573" s="11">
        <f>IF(OR(A1573="",C1573=""),"",IF(AND(COUNTIF(Responses!$A$6:$A$205,A1573)=1,B1573&lt;&gt;"",COUNTIFS($A$6:$A$2005,A1573,$B$6:$B$2005,B1573)=1,OR(F1573="Supported",F1573="Unsupported",F1573="Contradicted"),OR(G1573="Supported",G1573="Wrong citation",G1573="Missing citation"),OR(H1573="Yes",H1573="No"),I1573&lt;&gt;"",OR(F1573&lt;&gt;"Supported",E1573&lt;&gt;""),OR(G1573&lt;&gt;"Supported",AND(F1573="Supported",D1573&lt;&gt;"",E1573&lt;&gt;""))),"Yes","No"))</f>
        <v/>
      </c>
    </row>
    <row r="1574" spans="11:11">
      <c r="K1574" s="11">
        <f>IF(OR(A1574="",C1574=""),"",IF(AND(COUNTIF(Responses!$A$6:$A$205,A1574)=1,B1574&lt;&gt;"",COUNTIFS($A$6:$A$2005,A1574,$B$6:$B$2005,B1574)=1,OR(F1574="Supported",F1574="Unsupported",F1574="Contradicted"),OR(G1574="Supported",G1574="Wrong citation",G1574="Missing citation"),OR(H1574="Yes",H1574="No"),I1574&lt;&gt;"",OR(F1574&lt;&gt;"Supported",E1574&lt;&gt;""),OR(G1574&lt;&gt;"Supported",AND(F1574="Supported",D1574&lt;&gt;"",E1574&lt;&gt;""))),"Yes","No"))</f>
        <v/>
      </c>
    </row>
    <row r="1575" spans="11:11">
      <c r="K1575" s="11">
        <f>IF(OR(A1575="",C1575=""),"",IF(AND(COUNTIF(Responses!$A$6:$A$205,A1575)=1,B1575&lt;&gt;"",COUNTIFS($A$6:$A$2005,A1575,$B$6:$B$2005,B1575)=1,OR(F1575="Supported",F1575="Unsupported",F1575="Contradicted"),OR(G1575="Supported",G1575="Wrong citation",G1575="Missing citation"),OR(H1575="Yes",H1575="No"),I1575&lt;&gt;"",OR(F1575&lt;&gt;"Supported",E1575&lt;&gt;""),OR(G1575&lt;&gt;"Supported",AND(F1575="Supported",D1575&lt;&gt;"",E1575&lt;&gt;""))),"Yes","No"))</f>
        <v/>
      </c>
    </row>
    <row r="1576" spans="11:11">
      <c r="K1576" s="11">
        <f>IF(OR(A1576="",C1576=""),"",IF(AND(COUNTIF(Responses!$A$6:$A$205,A1576)=1,B1576&lt;&gt;"",COUNTIFS($A$6:$A$2005,A1576,$B$6:$B$2005,B1576)=1,OR(F1576="Supported",F1576="Unsupported",F1576="Contradicted"),OR(G1576="Supported",G1576="Wrong citation",G1576="Missing citation"),OR(H1576="Yes",H1576="No"),I1576&lt;&gt;"",OR(F1576&lt;&gt;"Supported",E1576&lt;&gt;""),OR(G1576&lt;&gt;"Supported",AND(F1576="Supported",D1576&lt;&gt;"",E1576&lt;&gt;""))),"Yes","No"))</f>
        <v/>
      </c>
    </row>
    <row r="1577" spans="11:11">
      <c r="K1577" s="11">
        <f>IF(OR(A1577="",C1577=""),"",IF(AND(COUNTIF(Responses!$A$6:$A$205,A1577)=1,B1577&lt;&gt;"",COUNTIFS($A$6:$A$2005,A1577,$B$6:$B$2005,B1577)=1,OR(F1577="Supported",F1577="Unsupported",F1577="Contradicted"),OR(G1577="Supported",G1577="Wrong citation",G1577="Missing citation"),OR(H1577="Yes",H1577="No"),I1577&lt;&gt;"",OR(F1577&lt;&gt;"Supported",E1577&lt;&gt;""),OR(G1577&lt;&gt;"Supported",AND(F1577="Supported",D1577&lt;&gt;"",E1577&lt;&gt;""))),"Yes","No"))</f>
        <v/>
      </c>
    </row>
    <row r="1578" spans="11:11">
      <c r="K1578" s="11">
        <f>IF(OR(A1578="",C1578=""),"",IF(AND(COUNTIF(Responses!$A$6:$A$205,A1578)=1,B1578&lt;&gt;"",COUNTIFS($A$6:$A$2005,A1578,$B$6:$B$2005,B1578)=1,OR(F1578="Supported",F1578="Unsupported",F1578="Contradicted"),OR(G1578="Supported",G1578="Wrong citation",G1578="Missing citation"),OR(H1578="Yes",H1578="No"),I1578&lt;&gt;"",OR(F1578&lt;&gt;"Supported",E1578&lt;&gt;""),OR(G1578&lt;&gt;"Supported",AND(F1578="Supported",D1578&lt;&gt;"",E1578&lt;&gt;""))),"Yes","No"))</f>
        <v/>
      </c>
    </row>
    <row r="1579" spans="11:11">
      <c r="K1579" s="11">
        <f>IF(OR(A1579="",C1579=""),"",IF(AND(COUNTIF(Responses!$A$6:$A$205,A1579)=1,B1579&lt;&gt;"",COUNTIFS($A$6:$A$2005,A1579,$B$6:$B$2005,B1579)=1,OR(F1579="Supported",F1579="Unsupported",F1579="Contradicted"),OR(G1579="Supported",G1579="Wrong citation",G1579="Missing citation"),OR(H1579="Yes",H1579="No"),I1579&lt;&gt;"",OR(F1579&lt;&gt;"Supported",E1579&lt;&gt;""),OR(G1579&lt;&gt;"Supported",AND(F1579="Supported",D1579&lt;&gt;"",E1579&lt;&gt;""))),"Yes","No"))</f>
        <v/>
      </c>
    </row>
    <row r="1580" spans="11:11">
      <c r="K1580" s="11">
        <f>IF(OR(A1580="",C1580=""),"",IF(AND(COUNTIF(Responses!$A$6:$A$205,A1580)=1,B1580&lt;&gt;"",COUNTIFS($A$6:$A$2005,A1580,$B$6:$B$2005,B1580)=1,OR(F1580="Supported",F1580="Unsupported",F1580="Contradicted"),OR(G1580="Supported",G1580="Wrong citation",G1580="Missing citation"),OR(H1580="Yes",H1580="No"),I1580&lt;&gt;"",OR(F1580&lt;&gt;"Supported",E1580&lt;&gt;""),OR(G1580&lt;&gt;"Supported",AND(F1580="Supported",D1580&lt;&gt;"",E1580&lt;&gt;""))),"Yes","No"))</f>
        <v/>
      </c>
    </row>
    <row r="1581" spans="11:11">
      <c r="K1581" s="11">
        <f>IF(OR(A1581="",C1581=""),"",IF(AND(COUNTIF(Responses!$A$6:$A$205,A1581)=1,B1581&lt;&gt;"",COUNTIFS($A$6:$A$2005,A1581,$B$6:$B$2005,B1581)=1,OR(F1581="Supported",F1581="Unsupported",F1581="Contradicted"),OR(G1581="Supported",G1581="Wrong citation",G1581="Missing citation"),OR(H1581="Yes",H1581="No"),I1581&lt;&gt;"",OR(F1581&lt;&gt;"Supported",E1581&lt;&gt;""),OR(G1581&lt;&gt;"Supported",AND(F1581="Supported",D1581&lt;&gt;"",E1581&lt;&gt;""))),"Yes","No"))</f>
        <v/>
      </c>
    </row>
    <row r="1582" spans="11:11">
      <c r="K1582" s="11">
        <f>IF(OR(A1582="",C1582=""),"",IF(AND(COUNTIF(Responses!$A$6:$A$205,A1582)=1,B1582&lt;&gt;"",COUNTIFS($A$6:$A$2005,A1582,$B$6:$B$2005,B1582)=1,OR(F1582="Supported",F1582="Unsupported",F1582="Contradicted"),OR(G1582="Supported",G1582="Wrong citation",G1582="Missing citation"),OR(H1582="Yes",H1582="No"),I1582&lt;&gt;"",OR(F1582&lt;&gt;"Supported",E1582&lt;&gt;""),OR(G1582&lt;&gt;"Supported",AND(F1582="Supported",D1582&lt;&gt;"",E1582&lt;&gt;""))),"Yes","No"))</f>
        <v/>
      </c>
    </row>
    <row r="1583" spans="11:11">
      <c r="K1583" s="11">
        <f>IF(OR(A1583="",C1583=""),"",IF(AND(COUNTIF(Responses!$A$6:$A$205,A1583)=1,B1583&lt;&gt;"",COUNTIFS($A$6:$A$2005,A1583,$B$6:$B$2005,B1583)=1,OR(F1583="Supported",F1583="Unsupported",F1583="Contradicted"),OR(G1583="Supported",G1583="Wrong citation",G1583="Missing citation"),OR(H1583="Yes",H1583="No"),I1583&lt;&gt;"",OR(F1583&lt;&gt;"Supported",E1583&lt;&gt;""),OR(G1583&lt;&gt;"Supported",AND(F1583="Supported",D1583&lt;&gt;"",E1583&lt;&gt;""))),"Yes","No"))</f>
        <v/>
      </c>
    </row>
    <row r="1584" spans="11:11">
      <c r="K1584" s="11">
        <f>IF(OR(A1584="",C1584=""),"",IF(AND(COUNTIF(Responses!$A$6:$A$205,A1584)=1,B1584&lt;&gt;"",COUNTIFS($A$6:$A$2005,A1584,$B$6:$B$2005,B1584)=1,OR(F1584="Supported",F1584="Unsupported",F1584="Contradicted"),OR(G1584="Supported",G1584="Wrong citation",G1584="Missing citation"),OR(H1584="Yes",H1584="No"),I1584&lt;&gt;"",OR(F1584&lt;&gt;"Supported",E1584&lt;&gt;""),OR(G1584&lt;&gt;"Supported",AND(F1584="Supported",D1584&lt;&gt;"",E1584&lt;&gt;""))),"Yes","No"))</f>
        <v/>
      </c>
    </row>
    <row r="1585" spans="11:11">
      <c r="K1585" s="11">
        <f>IF(OR(A1585="",C1585=""),"",IF(AND(COUNTIF(Responses!$A$6:$A$205,A1585)=1,B1585&lt;&gt;"",COUNTIFS($A$6:$A$2005,A1585,$B$6:$B$2005,B1585)=1,OR(F1585="Supported",F1585="Unsupported",F1585="Contradicted"),OR(G1585="Supported",G1585="Wrong citation",G1585="Missing citation"),OR(H1585="Yes",H1585="No"),I1585&lt;&gt;"",OR(F1585&lt;&gt;"Supported",E1585&lt;&gt;""),OR(G1585&lt;&gt;"Supported",AND(F1585="Supported",D1585&lt;&gt;"",E1585&lt;&gt;""))),"Yes","No"))</f>
        <v/>
      </c>
    </row>
    <row r="1586" spans="11:11">
      <c r="K1586" s="11">
        <f>IF(OR(A1586="",C1586=""),"",IF(AND(COUNTIF(Responses!$A$6:$A$205,A1586)=1,B1586&lt;&gt;"",COUNTIFS($A$6:$A$2005,A1586,$B$6:$B$2005,B1586)=1,OR(F1586="Supported",F1586="Unsupported",F1586="Contradicted"),OR(G1586="Supported",G1586="Wrong citation",G1586="Missing citation"),OR(H1586="Yes",H1586="No"),I1586&lt;&gt;"",OR(F1586&lt;&gt;"Supported",E1586&lt;&gt;""),OR(G1586&lt;&gt;"Supported",AND(F1586="Supported",D1586&lt;&gt;"",E1586&lt;&gt;""))),"Yes","No"))</f>
        <v/>
      </c>
    </row>
    <row r="1587" spans="11:11">
      <c r="K1587" s="11">
        <f>IF(OR(A1587="",C1587=""),"",IF(AND(COUNTIF(Responses!$A$6:$A$205,A1587)=1,B1587&lt;&gt;"",COUNTIFS($A$6:$A$2005,A1587,$B$6:$B$2005,B1587)=1,OR(F1587="Supported",F1587="Unsupported",F1587="Contradicted"),OR(G1587="Supported",G1587="Wrong citation",G1587="Missing citation"),OR(H1587="Yes",H1587="No"),I1587&lt;&gt;"",OR(F1587&lt;&gt;"Supported",E1587&lt;&gt;""),OR(G1587&lt;&gt;"Supported",AND(F1587="Supported",D1587&lt;&gt;"",E1587&lt;&gt;""))),"Yes","No"))</f>
        <v/>
      </c>
    </row>
    <row r="1588" spans="11:11">
      <c r="K1588" s="11">
        <f>IF(OR(A1588="",C1588=""),"",IF(AND(COUNTIF(Responses!$A$6:$A$205,A1588)=1,B1588&lt;&gt;"",COUNTIFS($A$6:$A$2005,A1588,$B$6:$B$2005,B1588)=1,OR(F1588="Supported",F1588="Unsupported",F1588="Contradicted"),OR(G1588="Supported",G1588="Wrong citation",G1588="Missing citation"),OR(H1588="Yes",H1588="No"),I1588&lt;&gt;"",OR(F1588&lt;&gt;"Supported",E1588&lt;&gt;""),OR(G1588&lt;&gt;"Supported",AND(F1588="Supported",D1588&lt;&gt;"",E1588&lt;&gt;""))),"Yes","No"))</f>
        <v/>
      </c>
    </row>
    <row r="1589" spans="11:11">
      <c r="K1589" s="11">
        <f>IF(OR(A1589="",C1589=""),"",IF(AND(COUNTIF(Responses!$A$6:$A$205,A1589)=1,B1589&lt;&gt;"",COUNTIFS($A$6:$A$2005,A1589,$B$6:$B$2005,B1589)=1,OR(F1589="Supported",F1589="Unsupported",F1589="Contradicted"),OR(G1589="Supported",G1589="Wrong citation",G1589="Missing citation"),OR(H1589="Yes",H1589="No"),I1589&lt;&gt;"",OR(F1589&lt;&gt;"Supported",E1589&lt;&gt;""),OR(G1589&lt;&gt;"Supported",AND(F1589="Supported",D1589&lt;&gt;"",E1589&lt;&gt;""))),"Yes","No"))</f>
        <v/>
      </c>
    </row>
    <row r="1590" spans="11:11">
      <c r="K1590" s="11">
        <f>IF(OR(A1590="",C1590=""),"",IF(AND(COUNTIF(Responses!$A$6:$A$205,A1590)=1,B1590&lt;&gt;"",COUNTIFS($A$6:$A$2005,A1590,$B$6:$B$2005,B1590)=1,OR(F1590="Supported",F1590="Unsupported",F1590="Contradicted"),OR(G1590="Supported",G1590="Wrong citation",G1590="Missing citation"),OR(H1590="Yes",H1590="No"),I1590&lt;&gt;"",OR(F1590&lt;&gt;"Supported",E1590&lt;&gt;""),OR(G1590&lt;&gt;"Supported",AND(F1590="Supported",D1590&lt;&gt;"",E1590&lt;&gt;""))),"Yes","No"))</f>
        <v/>
      </c>
    </row>
    <row r="1591" spans="11:11">
      <c r="K1591" s="11">
        <f>IF(OR(A1591="",C1591=""),"",IF(AND(COUNTIF(Responses!$A$6:$A$205,A1591)=1,B1591&lt;&gt;"",COUNTIFS($A$6:$A$2005,A1591,$B$6:$B$2005,B1591)=1,OR(F1591="Supported",F1591="Unsupported",F1591="Contradicted"),OR(G1591="Supported",G1591="Wrong citation",G1591="Missing citation"),OR(H1591="Yes",H1591="No"),I1591&lt;&gt;"",OR(F1591&lt;&gt;"Supported",E1591&lt;&gt;""),OR(G1591&lt;&gt;"Supported",AND(F1591="Supported",D1591&lt;&gt;"",E1591&lt;&gt;""))),"Yes","No"))</f>
        <v/>
      </c>
    </row>
    <row r="1592" spans="11:11">
      <c r="K1592" s="11">
        <f>IF(OR(A1592="",C1592=""),"",IF(AND(COUNTIF(Responses!$A$6:$A$205,A1592)=1,B1592&lt;&gt;"",COUNTIFS($A$6:$A$2005,A1592,$B$6:$B$2005,B1592)=1,OR(F1592="Supported",F1592="Unsupported",F1592="Contradicted"),OR(G1592="Supported",G1592="Wrong citation",G1592="Missing citation"),OR(H1592="Yes",H1592="No"),I1592&lt;&gt;"",OR(F1592&lt;&gt;"Supported",E1592&lt;&gt;""),OR(G1592&lt;&gt;"Supported",AND(F1592="Supported",D1592&lt;&gt;"",E1592&lt;&gt;""))),"Yes","No"))</f>
        <v/>
      </c>
    </row>
    <row r="1593" spans="11:11">
      <c r="K1593" s="11">
        <f>IF(OR(A1593="",C1593=""),"",IF(AND(COUNTIF(Responses!$A$6:$A$205,A1593)=1,B1593&lt;&gt;"",COUNTIFS($A$6:$A$2005,A1593,$B$6:$B$2005,B1593)=1,OR(F1593="Supported",F1593="Unsupported",F1593="Contradicted"),OR(G1593="Supported",G1593="Wrong citation",G1593="Missing citation"),OR(H1593="Yes",H1593="No"),I1593&lt;&gt;"",OR(F1593&lt;&gt;"Supported",E1593&lt;&gt;""),OR(G1593&lt;&gt;"Supported",AND(F1593="Supported",D1593&lt;&gt;"",E1593&lt;&gt;""))),"Yes","No"))</f>
        <v/>
      </c>
    </row>
    <row r="1594" spans="11:11">
      <c r="K1594" s="11">
        <f>IF(OR(A1594="",C1594=""),"",IF(AND(COUNTIF(Responses!$A$6:$A$205,A1594)=1,B1594&lt;&gt;"",COUNTIFS($A$6:$A$2005,A1594,$B$6:$B$2005,B1594)=1,OR(F1594="Supported",F1594="Unsupported",F1594="Contradicted"),OR(G1594="Supported",G1594="Wrong citation",G1594="Missing citation"),OR(H1594="Yes",H1594="No"),I1594&lt;&gt;"",OR(F1594&lt;&gt;"Supported",E1594&lt;&gt;""),OR(G1594&lt;&gt;"Supported",AND(F1594="Supported",D1594&lt;&gt;"",E1594&lt;&gt;""))),"Yes","No"))</f>
        <v/>
      </c>
    </row>
    <row r="1595" spans="11:11">
      <c r="K1595" s="11">
        <f>IF(OR(A1595="",C1595=""),"",IF(AND(COUNTIF(Responses!$A$6:$A$205,A1595)=1,B1595&lt;&gt;"",COUNTIFS($A$6:$A$2005,A1595,$B$6:$B$2005,B1595)=1,OR(F1595="Supported",F1595="Unsupported",F1595="Contradicted"),OR(G1595="Supported",G1595="Wrong citation",G1595="Missing citation"),OR(H1595="Yes",H1595="No"),I1595&lt;&gt;"",OR(F1595&lt;&gt;"Supported",E1595&lt;&gt;""),OR(G1595&lt;&gt;"Supported",AND(F1595="Supported",D1595&lt;&gt;"",E1595&lt;&gt;""))),"Yes","No"))</f>
        <v/>
      </c>
    </row>
    <row r="1596" spans="11:11">
      <c r="K1596" s="11">
        <f>IF(OR(A1596="",C1596=""),"",IF(AND(COUNTIF(Responses!$A$6:$A$205,A1596)=1,B1596&lt;&gt;"",COUNTIFS($A$6:$A$2005,A1596,$B$6:$B$2005,B1596)=1,OR(F1596="Supported",F1596="Unsupported",F1596="Contradicted"),OR(G1596="Supported",G1596="Wrong citation",G1596="Missing citation"),OR(H1596="Yes",H1596="No"),I1596&lt;&gt;"",OR(F1596&lt;&gt;"Supported",E1596&lt;&gt;""),OR(G1596&lt;&gt;"Supported",AND(F1596="Supported",D1596&lt;&gt;"",E1596&lt;&gt;""))),"Yes","No"))</f>
        <v/>
      </c>
    </row>
    <row r="1597" spans="11:11">
      <c r="K1597" s="11">
        <f>IF(OR(A1597="",C1597=""),"",IF(AND(COUNTIF(Responses!$A$6:$A$205,A1597)=1,B1597&lt;&gt;"",COUNTIFS($A$6:$A$2005,A1597,$B$6:$B$2005,B1597)=1,OR(F1597="Supported",F1597="Unsupported",F1597="Contradicted"),OR(G1597="Supported",G1597="Wrong citation",G1597="Missing citation"),OR(H1597="Yes",H1597="No"),I1597&lt;&gt;"",OR(F1597&lt;&gt;"Supported",E1597&lt;&gt;""),OR(G1597&lt;&gt;"Supported",AND(F1597="Supported",D1597&lt;&gt;"",E1597&lt;&gt;""))),"Yes","No"))</f>
        <v/>
      </c>
    </row>
    <row r="1598" spans="11:11">
      <c r="K1598" s="11">
        <f>IF(OR(A1598="",C1598=""),"",IF(AND(COUNTIF(Responses!$A$6:$A$205,A1598)=1,B1598&lt;&gt;"",COUNTIFS($A$6:$A$2005,A1598,$B$6:$B$2005,B1598)=1,OR(F1598="Supported",F1598="Unsupported",F1598="Contradicted"),OR(G1598="Supported",G1598="Wrong citation",G1598="Missing citation"),OR(H1598="Yes",H1598="No"),I1598&lt;&gt;"",OR(F1598&lt;&gt;"Supported",E1598&lt;&gt;""),OR(G1598&lt;&gt;"Supported",AND(F1598="Supported",D1598&lt;&gt;"",E1598&lt;&gt;""))),"Yes","No"))</f>
        <v/>
      </c>
    </row>
    <row r="1599" spans="11:11">
      <c r="K1599" s="11">
        <f>IF(OR(A1599="",C1599=""),"",IF(AND(COUNTIF(Responses!$A$6:$A$205,A1599)=1,B1599&lt;&gt;"",COUNTIFS($A$6:$A$2005,A1599,$B$6:$B$2005,B1599)=1,OR(F1599="Supported",F1599="Unsupported",F1599="Contradicted"),OR(G1599="Supported",G1599="Wrong citation",G1599="Missing citation"),OR(H1599="Yes",H1599="No"),I1599&lt;&gt;"",OR(F1599&lt;&gt;"Supported",E1599&lt;&gt;""),OR(G1599&lt;&gt;"Supported",AND(F1599="Supported",D1599&lt;&gt;"",E1599&lt;&gt;""))),"Yes","No"))</f>
        <v/>
      </c>
    </row>
    <row r="1600" spans="11:11">
      <c r="K1600" s="11">
        <f>IF(OR(A1600="",C1600=""),"",IF(AND(COUNTIF(Responses!$A$6:$A$205,A1600)=1,B1600&lt;&gt;"",COUNTIFS($A$6:$A$2005,A1600,$B$6:$B$2005,B1600)=1,OR(F1600="Supported",F1600="Unsupported",F1600="Contradicted"),OR(G1600="Supported",G1600="Wrong citation",G1600="Missing citation"),OR(H1600="Yes",H1600="No"),I1600&lt;&gt;"",OR(F1600&lt;&gt;"Supported",E1600&lt;&gt;""),OR(G1600&lt;&gt;"Supported",AND(F1600="Supported",D1600&lt;&gt;"",E1600&lt;&gt;""))),"Yes","No"))</f>
        <v/>
      </c>
    </row>
    <row r="1601" spans="11:11">
      <c r="K1601" s="11">
        <f>IF(OR(A1601="",C1601=""),"",IF(AND(COUNTIF(Responses!$A$6:$A$205,A1601)=1,B1601&lt;&gt;"",COUNTIFS($A$6:$A$2005,A1601,$B$6:$B$2005,B1601)=1,OR(F1601="Supported",F1601="Unsupported",F1601="Contradicted"),OR(G1601="Supported",G1601="Wrong citation",G1601="Missing citation"),OR(H1601="Yes",H1601="No"),I1601&lt;&gt;"",OR(F1601&lt;&gt;"Supported",E1601&lt;&gt;""),OR(G1601&lt;&gt;"Supported",AND(F1601="Supported",D1601&lt;&gt;"",E1601&lt;&gt;""))),"Yes","No"))</f>
        <v/>
      </c>
    </row>
    <row r="1602" spans="11:11">
      <c r="K1602" s="11">
        <f>IF(OR(A1602="",C1602=""),"",IF(AND(COUNTIF(Responses!$A$6:$A$205,A1602)=1,B1602&lt;&gt;"",COUNTIFS($A$6:$A$2005,A1602,$B$6:$B$2005,B1602)=1,OR(F1602="Supported",F1602="Unsupported",F1602="Contradicted"),OR(G1602="Supported",G1602="Wrong citation",G1602="Missing citation"),OR(H1602="Yes",H1602="No"),I1602&lt;&gt;"",OR(F1602&lt;&gt;"Supported",E1602&lt;&gt;""),OR(G1602&lt;&gt;"Supported",AND(F1602="Supported",D1602&lt;&gt;"",E1602&lt;&gt;""))),"Yes","No"))</f>
        <v/>
      </c>
    </row>
    <row r="1603" spans="11:11">
      <c r="K1603" s="11">
        <f>IF(OR(A1603="",C1603=""),"",IF(AND(COUNTIF(Responses!$A$6:$A$205,A1603)=1,B1603&lt;&gt;"",COUNTIFS($A$6:$A$2005,A1603,$B$6:$B$2005,B1603)=1,OR(F1603="Supported",F1603="Unsupported",F1603="Contradicted"),OR(G1603="Supported",G1603="Wrong citation",G1603="Missing citation"),OR(H1603="Yes",H1603="No"),I1603&lt;&gt;"",OR(F1603&lt;&gt;"Supported",E1603&lt;&gt;""),OR(G1603&lt;&gt;"Supported",AND(F1603="Supported",D1603&lt;&gt;"",E1603&lt;&gt;""))),"Yes","No"))</f>
        <v/>
      </c>
    </row>
    <row r="1604" spans="11:11">
      <c r="K1604" s="11">
        <f>IF(OR(A1604="",C1604=""),"",IF(AND(COUNTIF(Responses!$A$6:$A$205,A1604)=1,B1604&lt;&gt;"",COUNTIFS($A$6:$A$2005,A1604,$B$6:$B$2005,B1604)=1,OR(F1604="Supported",F1604="Unsupported",F1604="Contradicted"),OR(G1604="Supported",G1604="Wrong citation",G1604="Missing citation"),OR(H1604="Yes",H1604="No"),I1604&lt;&gt;"",OR(F1604&lt;&gt;"Supported",E1604&lt;&gt;""),OR(G1604&lt;&gt;"Supported",AND(F1604="Supported",D1604&lt;&gt;"",E1604&lt;&gt;""))),"Yes","No"))</f>
        <v/>
      </c>
    </row>
    <row r="1605" spans="11:11">
      <c r="K1605" s="11">
        <f>IF(OR(A1605="",C1605=""),"",IF(AND(COUNTIF(Responses!$A$6:$A$205,A1605)=1,B1605&lt;&gt;"",COUNTIFS($A$6:$A$2005,A1605,$B$6:$B$2005,B1605)=1,OR(F1605="Supported",F1605="Unsupported",F1605="Contradicted"),OR(G1605="Supported",G1605="Wrong citation",G1605="Missing citation"),OR(H1605="Yes",H1605="No"),I1605&lt;&gt;"",OR(F1605&lt;&gt;"Supported",E1605&lt;&gt;""),OR(G1605&lt;&gt;"Supported",AND(F1605="Supported",D1605&lt;&gt;"",E1605&lt;&gt;""))),"Yes","No"))</f>
        <v/>
      </c>
    </row>
    <row r="1606" spans="11:11">
      <c r="K1606" s="11">
        <f>IF(OR(A1606="",C1606=""),"",IF(AND(COUNTIF(Responses!$A$6:$A$205,A1606)=1,B1606&lt;&gt;"",COUNTIFS($A$6:$A$2005,A1606,$B$6:$B$2005,B1606)=1,OR(F1606="Supported",F1606="Unsupported",F1606="Contradicted"),OR(G1606="Supported",G1606="Wrong citation",G1606="Missing citation"),OR(H1606="Yes",H1606="No"),I1606&lt;&gt;"",OR(F1606&lt;&gt;"Supported",E1606&lt;&gt;""),OR(G1606&lt;&gt;"Supported",AND(F1606="Supported",D1606&lt;&gt;"",E1606&lt;&gt;""))),"Yes","No"))</f>
        <v/>
      </c>
    </row>
    <row r="1607" spans="11:11">
      <c r="K1607" s="11">
        <f>IF(OR(A1607="",C1607=""),"",IF(AND(COUNTIF(Responses!$A$6:$A$205,A1607)=1,B1607&lt;&gt;"",COUNTIFS($A$6:$A$2005,A1607,$B$6:$B$2005,B1607)=1,OR(F1607="Supported",F1607="Unsupported",F1607="Contradicted"),OR(G1607="Supported",G1607="Wrong citation",G1607="Missing citation"),OR(H1607="Yes",H1607="No"),I1607&lt;&gt;"",OR(F1607&lt;&gt;"Supported",E1607&lt;&gt;""),OR(G1607&lt;&gt;"Supported",AND(F1607="Supported",D1607&lt;&gt;"",E1607&lt;&gt;""))),"Yes","No"))</f>
        <v/>
      </c>
    </row>
    <row r="1608" spans="11:11">
      <c r="K1608" s="11">
        <f>IF(OR(A1608="",C1608=""),"",IF(AND(COUNTIF(Responses!$A$6:$A$205,A1608)=1,B1608&lt;&gt;"",COUNTIFS($A$6:$A$2005,A1608,$B$6:$B$2005,B1608)=1,OR(F1608="Supported",F1608="Unsupported",F1608="Contradicted"),OR(G1608="Supported",G1608="Wrong citation",G1608="Missing citation"),OR(H1608="Yes",H1608="No"),I1608&lt;&gt;"",OR(F1608&lt;&gt;"Supported",E1608&lt;&gt;""),OR(G1608&lt;&gt;"Supported",AND(F1608="Supported",D1608&lt;&gt;"",E1608&lt;&gt;""))),"Yes","No"))</f>
        <v/>
      </c>
    </row>
    <row r="1609" spans="11:11">
      <c r="K1609" s="11">
        <f>IF(OR(A1609="",C1609=""),"",IF(AND(COUNTIF(Responses!$A$6:$A$205,A1609)=1,B1609&lt;&gt;"",COUNTIFS($A$6:$A$2005,A1609,$B$6:$B$2005,B1609)=1,OR(F1609="Supported",F1609="Unsupported",F1609="Contradicted"),OR(G1609="Supported",G1609="Wrong citation",G1609="Missing citation"),OR(H1609="Yes",H1609="No"),I1609&lt;&gt;"",OR(F1609&lt;&gt;"Supported",E1609&lt;&gt;""),OR(G1609&lt;&gt;"Supported",AND(F1609="Supported",D1609&lt;&gt;"",E1609&lt;&gt;""))),"Yes","No"))</f>
        <v/>
      </c>
    </row>
    <row r="1610" spans="11:11">
      <c r="K1610" s="11">
        <f>IF(OR(A1610="",C1610=""),"",IF(AND(COUNTIF(Responses!$A$6:$A$205,A1610)=1,B1610&lt;&gt;"",COUNTIFS($A$6:$A$2005,A1610,$B$6:$B$2005,B1610)=1,OR(F1610="Supported",F1610="Unsupported",F1610="Contradicted"),OR(G1610="Supported",G1610="Wrong citation",G1610="Missing citation"),OR(H1610="Yes",H1610="No"),I1610&lt;&gt;"",OR(F1610&lt;&gt;"Supported",E1610&lt;&gt;""),OR(G1610&lt;&gt;"Supported",AND(F1610="Supported",D1610&lt;&gt;"",E1610&lt;&gt;""))),"Yes","No"))</f>
        <v/>
      </c>
    </row>
    <row r="1611" spans="11:11">
      <c r="K1611" s="11">
        <f>IF(OR(A1611="",C1611=""),"",IF(AND(COUNTIF(Responses!$A$6:$A$205,A1611)=1,B1611&lt;&gt;"",COUNTIFS($A$6:$A$2005,A1611,$B$6:$B$2005,B1611)=1,OR(F1611="Supported",F1611="Unsupported",F1611="Contradicted"),OR(G1611="Supported",G1611="Wrong citation",G1611="Missing citation"),OR(H1611="Yes",H1611="No"),I1611&lt;&gt;"",OR(F1611&lt;&gt;"Supported",E1611&lt;&gt;""),OR(G1611&lt;&gt;"Supported",AND(F1611="Supported",D1611&lt;&gt;"",E1611&lt;&gt;""))),"Yes","No"))</f>
        <v/>
      </c>
    </row>
    <row r="1612" spans="11:11">
      <c r="K1612" s="11">
        <f>IF(OR(A1612="",C1612=""),"",IF(AND(COUNTIF(Responses!$A$6:$A$205,A1612)=1,B1612&lt;&gt;"",COUNTIFS($A$6:$A$2005,A1612,$B$6:$B$2005,B1612)=1,OR(F1612="Supported",F1612="Unsupported",F1612="Contradicted"),OR(G1612="Supported",G1612="Wrong citation",G1612="Missing citation"),OR(H1612="Yes",H1612="No"),I1612&lt;&gt;"",OR(F1612&lt;&gt;"Supported",E1612&lt;&gt;""),OR(G1612&lt;&gt;"Supported",AND(F1612="Supported",D1612&lt;&gt;"",E1612&lt;&gt;""))),"Yes","No"))</f>
        <v/>
      </c>
    </row>
    <row r="1613" spans="11:11">
      <c r="K1613" s="11">
        <f>IF(OR(A1613="",C1613=""),"",IF(AND(COUNTIF(Responses!$A$6:$A$205,A1613)=1,B1613&lt;&gt;"",COUNTIFS($A$6:$A$2005,A1613,$B$6:$B$2005,B1613)=1,OR(F1613="Supported",F1613="Unsupported",F1613="Contradicted"),OR(G1613="Supported",G1613="Wrong citation",G1613="Missing citation"),OR(H1613="Yes",H1613="No"),I1613&lt;&gt;"",OR(F1613&lt;&gt;"Supported",E1613&lt;&gt;""),OR(G1613&lt;&gt;"Supported",AND(F1613="Supported",D1613&lt;&gt;"",E1613&lt;&gt;""))),"Yes","No"))</f>
        <v/>
      </c>
    </row>
    <row r="1614" spans="11:11">
      <c r="K1614" s="11">
        <f>IF(OR(A1614="",C1614=""),"",IF(AND(COUNTIF(Responses!$A$6:$A$205,A1614)=1,B1614&lt;&gt;"",COUNTIFS($A$6:$A$2005,A1614,$B$6:$B$2005,B1614)=1,OR(F1614="Supported",F1614="Unsupported",F1614="Contradicted"),OR(G1614="Supported",G1614="Wrong citation",G1614="Missing citation"),OR(H1614="Yes",H1614="No"),I1614&lt;&gt;"",OR(F1614&lt;&gt;"Supported",E1614&lt;&gt;""),OR(G1614&lt;&gt;"Supported",AND(F1614="Supported",D1614&lt;&gt;"",E1614&lt;&gt;""))),"Yes","No"))</f>
        <v/>
      </c>
    </row>
    <row r="1615" spans="11:11">
      <c r="K1615" s="11">
        <f>IF(OR(A1615="",C1615=""),"",IF(AND(COUNTIF(Responses!$A$6:$A$205,A1615)=1,B1615&lt;&gt;"",COUNTIFS($A$6:$A$2005,A1615,$B$6:$B$2005,B1615)=1,OR(F1615="Supported",F1615="Unsupported",F1615="Contradicted"),OR(G1615="Supported",G1615="Wrong citation",G1615="Missing citation"),OR(H1615="Yes",H1615="No"),I1615&lt;&gt;"",OR(F1615&lt;&gt;"Supported",E1615&lt;&gt;""),OR(G1615&lt;&gt;"Supported",AND(F1615="Supported",D1615&lt;&gt;"",E1615&lt;&gt;""))),"Yes","No"))</f>
        <v/>
      </c>
    </row>
    <row r="1616" spans="11:11">
      <c r="K1616" s="11">
        <f>IF(OR(A1616="",C1616=""),"",IF(AND(COUNTIF(Responses!$A$6:$A$205,A1616)=1,B1616&lt;&gt;"",COUNTIFS($A$6:$A$2005,A1616,$B$6:$B$2005,B1616)=1,OR(F1616="Supported",F1616="Unsupported",F1616="Contradicted"),OR(G1616="Supported",G1616="Wrong citation",G1616="Missing citation"),OR(H1616="Yes",H1616="No"),I1616&lt;&gt;"",OR(F1616&lt;&gt;"Supported",E1616&lt;&gt;""),OR(G1616&lt;&gt;"Supported",AND(F1616="Supported",D1616&lt;&gt;"",E1616&lt;&gt;""))),"Yes","No"))</f>
        <v/>
      </c>
    </row>
    <row r="1617" spans="11:11">
      <c r="K1617" s="11">
        <f>IF(OR(A1617="",C1617=""),"",IF(AND(COUNTIF(Responses!$A$6:$A$205,A1617)=1,B1617&lt;&gt;"",COUNTIFS($A$6:$A$2005,A1617,$B$6:$B$2005,B1617)=1,OR(F1617="Supported",F1617="Unsupported",F1617="Contradicted"),OR(G1617="Supported",G1617="Wrong citation",G1617="Missing citation"),OR(H1617="Yes",H1617="No"),I1617&lt;&gt;"",OR(F1617&lt;&gt;"Supported",E1617&lt;&gt;""),OR(G1617&lt;&gt;"Supported",AND(F1617="Supported",D1617&lt;&gt;"",E1617&lt;&gt;""))),"Yes","No"))</f>
        <v/>
      </c>
    </row>
    <row r="1618" spans="11:11">
      <c r="K1618" s="11">
        <f>IF(OR(A1618="",C1618=""),"",IF(AND(COUNTIF(Responses!$A$6:$A$205,A1618)=1,B1618&lt;&gt;"",COUNTIFS($A$6:$A$2005,A1618,$B$6:$B$2005,B1618)=1,OR(F1618="Supported",F1618="Unsupported",F1618="Contradicted"),OR(G1618="Supported",G1618="Wrong citation",G1618="Missing citation"),OR(H1618="Yes",H1618="No"),I1618&lt;&gt;"",OR(F1618&lt;&gt;"Supported",E1618&lt;&gt;""),OR(G1618&lt;&gt;"Supported",AND(F1618="Supported",D1618&lt;&gt;"",E1618&lt;&gt;""))),"Yes","No"))</f>
        <v/>
      </c>
    </row>
    <row r="1619" spans="11:11">
      <c r="K1619" s="11">
        <f>IF(OR(A1619="",C1619=""),"",IF(AND(COUNTIF(Responses!$A$6:$A$205,A1619)=1,B1619&lt;&gt;"",COUNTIFS($A$6:$A$2005,A1619,$B$6:$B$2005,B1619)=1,OR(F1619="Supported",F1619="Unsupported",F1619="Contradicted"),OR(G1619="Supported",G1619="Wrong citation",G1619="Missing citation"),OR(H1619="Yes",H1619="No"),I1619&lt;&gt;"",OR(F1619&lt;&gt;"Supported",E1619&lt;&gt;""),OR(G1619&lt;&gt;"Supported",AND(F1619="Supported",D1619&lt;&gt;"",E1619&lt;&gt;""))),"Yes","No"))</f>
        <v/>
      </c>
    </row>
    <row r="1620" spans="11:11">
      <c r="K1620" s="11">
        <f>IF(OR(A1620="",C1620=""),"",IF(AND(COUNTIF(Responses!$A$6:$A$205,A1620)=1,B1620&lt;&gt;"",COUNTIFS($A$6:$A$2005,A1620,$B$6:$B$2005,B1620)=1,OR(F1620="Supported",F1620="Unsupported",F1620="Contradicted"),OR(G1620="Supported",G1620="Wrong citation",G1620="Missing citation"),OR(H1620="Yes",H1620="No"),I1620&lt;&gt;"",OR(F1620&lt;&gt;"Supported",E1620&lt;&gt;""),OR(G1620&lt;&gt;"Supported",AND(F1620="Supported",D1620&lt;&gt;"",E1620&lt;&gt;""))),"Yes","No"))</f>
        <v/>
      </c>
    </row>
    <row r="1621" spans="11:11">
      <c r="K1621" s="11">
        <f>IF(OR(A1621="",C1621=""),"",IF(AND(COUNTIF(Responses!$A$6:$A$205,A1621)=1,B1621&lt;&gt;"",COUNTIFS($A$6:$A$2005,A1621,$B$6:$B$2005,B1621)=1,OR(F1621="Supported",F1621="Unsupported",F1621="Contradicted"),OR(G1621="Supported",G1621="Wrong citation",G1621="Missing citation"),OR(H1621="Yes",H1621="No"),I1621&lt;&gt;"",OR(F1621&lt;&gt;"Supported",E1621&lt;&gt;""),OR(G1621&lt;&gt;"Supported",AND(F1621="Supported",D1621&lt;&gt;"",E1621&lt;&gt;""))),"Yes","No"))</f>
        <v/>
      </c>
    </row>
    <row r="1622" spans="11:11">
      <c r="K1622" s="11">
        <f>IF(OR(A1622="",C1622=""),"",IF(AND(COUNTIF(Responses!$A$6:$A$205,A1622)=1,B1622&lt;&gt;"",COUNTIFS($A$6:$A$2005,A1622,$B$6:$B$2005,B1622)=1,OR(F1622="Supported",F1622="Unsupported",F1622="Contradicted"),OR(G1622="Supported",G1622="Wrong citation",G1622="Missing citation"),OR(H1622="Yes",H1622="No"),I1622&lt;&gt;"",OR(F1622&lt;&gt;"Supported",E1622&lt;&gt;""),OR(G1622&lt;&gt;"Supported",AND(F1622="Supported",D1622&lt;&gt;"",E1622&lt;&gt;""))),"Yes","No"))</f>
        <v/>
      </c>
    </row>
    <row r="1623" spans="11:11">
      <c r="K1623" s="11">
        <f>IF(OR(A1623="",C1623=""),"",IF(AND(COUNTIF(Responses!$A$6:$A$205,A1623)=1,B1623&lt;&gt;"",COUNTIFS($A$6:$A$2005,A1623,$B$6:$B$2005,B1623)=1,OR(F1623="Supported",F1623="Unsupported",F1623="Contradicted"),OR(G1623="Supported",G1623="Wrong citation",G1623="Missing citation"),OR(H1623="Yes",H1623="No"),I1623&lt;&gt;"",OR(F1623&lt;&gt;"Supported",E1623&lt;&gt;""),OR(G1623&lt;&gt;"Supported",AND(F1623="Supported",D1623&lt;&gt;"",E1623&lt;&gt;""))),"Yes","No"))</f>
        <v/>
      </c>
    </row>
    <row r="1624" spans="11:11">
      <c r="K1624" s="11">
        <f>IF(OR(A1624="",C1624=""),"",IF(AND(COUNTIF(Responses!$A$6:$A$205,A1624)=1,B1624&lt;&gt;"",COUNTIFS($A$6:$A$2005,A1624,$B$6:$B$2005,B1624)=1,OR(F1624="Supported",F1624="Unsupported",F1624="Contradicted"),OR(G1624="Supported",G1624="Wrong citation",G1624="Missing citation"),OR(H1624="Yes",H1624="No"),I1624&lt;&gt;"",OR(F1624&lt;&gt;"Supported",E1624&lt;&gt;""),OR(G1624&lt;&gt;"Supported",AND(F1624="Supported",D1624&lt;&gt;"",E1624&lt;&gt;""))),"Yes","No"))</f>
        <v/>
      </c>
    </row>
    <row r="1625" spans="11:11">
      <c r="K1625" s="11">
        <f>IF(OR(A1625="",C1625=""),"",IF(AND(COUNTIF(Responses!$A$6:$A$205,A1625)=1,B1625&lt;&gt;"",COUNTIFS($A$6:$A$2005,A1625,$B$6:$B$2005,B1625)=1,OR(F1625="Supported",F1625="Unsupported",F1625="Contradicted"),OR(G1625="Supported",G1625="Wrong citation",G1625="Missing citation"),OR(H1625="Yes",H1625="No"),I1625&lt;&gt;"",OR(F1625&lt;&gt;"Supported",E1625&lt;&gt;""),OR(G1625&lt;&gt;"Supported",AND(F1625="Supported",D1625&lt;&gt;"",E1625&lt;&gt;""))),"Yes","No"))</f>
        <v/>
      </c>
    </row>
    <row r="1626" spans="11:11">
      <c r="K1626" s="11">
        <f>IF(OR(A1626="",C1626=""),"",IF(AND(COUNTIF(Responses!$A$6:$A$205,A1626)=1,B1626&lt;&gt;"",COUNTIFS($A$6:$A$2005,A1626,$B$6:$B$2005,B1626)=1,OR(F1626="Supported",F1626="Unsupported",F1626="Contradicted"),OR(G1626="Supported",G1626="Wrong citation",G1626="Missing citation"),OR(H1626="Yes",H1626="No"),I1626&lt;&gt;"",OR(F1626&lt;&gt;"Supported",E1626&lt;&gt;""),OR(G1626&lt;&gt;"Supported",AND(F1626="Supported",D1626&lt;&gt;"",E1626&lt;&gt;""))),"Yes","No"))</f>
        <v/>
      </c>
    </row>
    <row r="1627" spans="11:11">
      <c r="K1627" s="11">
        <f>IF(OR(A1627="",C1627=""),"",IF(AND(COUNTIF(Responses!$A$6:$A$205,A1627)=1,B1627&lt;&gt;"",COUNTIFS($A$6:$A$2005,A1627,$B$6:$B$2005,B1627)=1,OR(F1627="Supported",F1627="Unsupported",F1627="Contradicted"),OR(G1627="Supported",G1627="Wrong citation",G1627="Missing citation"),OR(H1627="Yes",H1627="No"),I1627&lt;&gt;"",OR(F1627&lt;&gt;"Supported",E1627&lt;&gt;""),OR(G1627&lt;&gt;"Supported",AND(F1627="Supported",D1627&lt;&gt;"",E1627&lt;&gt;""))),"Yes","No"))</f>
        <v/>
      </c>
    </row>
    <row r="1628" spans="11:11">
      <c r="K1628" s="11">
        <f>IF(OR(A1628="",C1628=""),"",IF(AND(COUNTIF(Responses!$A$6:$A$205,A1628)=1,B1628&lt;&gt;"",COUNTIFS($A$6:$A$2005,A1628,$B$6:$B$2005,B1628)=1,OR(F1628="Supported",F1628="Unsupported",F1628="Contradicted"),OR(G1628="Supported",G1628="Wrong citation",G1628="Missing citation"),OR(H1628="Yes",H1628="No"),I1628&lt;&gt;"",OR(F1628&lt;&gt;"Supported",E1628&lt;&gt;""),OR(G1628&lt;&gt;"Supported",AND(F1628="Supported",D1628&lt;&gt;"",E1628&lt;&gt;""))),"Yes","No"))</f>
        <v/>
      </c>
    </row>
    <row r="1629" spans="11:11">
      <c r="K1629" s="11">
        <f>IF(OR(A1629="",C1629=""),"",IF(AND(COUNTIF(Responses!$A$6:$A$205,A1629)=1,B1629&lt;&gt;"",COUNTIFS($A$6:$A$2005,A1629,$B$6:$B$2005,B1629)=1,OR(F1629="Supported",F1629="Unsupported",F1629="Contradicted"),OR(G1629="Supported",G1629="Wrong citation",G1629="Missing citation"),OR(H1629="Yes",H1629="No"),I1629&lt;&gt;"",OR(F1629&lt;&gt;"Supported",E1629&lt;&gt;""),OR(G1629&lt;&gt;"Supported",AND(F1629="Supported",D1629&lt;&gt;"",E1629&lt;&gt;""))),"Yes","No"))</f>
        <v/>
      </c>
    </row>
    <row r="1630" spans="11:11">
      <c r="K1630" s="11">
        <f>IF(OR(A1630="",C1630=""),"",IF(AND(COUNTIF(Responses!$A$6:$A$205,A1630)=1,B1630&lt;&gt;"",COUNTIFS($A$6:$A$2005,A1630,$B$6:$B$2005,B1630)=1,OR(F1630="Supported",F1630="Unsupported",F1630="Contradicted"),OR(G1630="Supported",G1630="Wrong citation",G1630="Missing citation"),OR(H1630="Yes",H1630="No"),I1630&lt;&gt;"",OR(F1630&lt;&gt;"Supported",E1630&lt;&gt;""),OR(G1630&lt;&gt;"Supported",AND(F1630="Supported",D1630&lt;&gt;"",E1630&lt;&gt;""))),"Yes","No"))</f>
        <v/>
      </c>
    </row>
    <row r="1631" spans="11:11">
      <c r="K1631" s="11">
        <f>IF(OR(A1631="",C1631=""),"",IF(AND(COUNTIF(Responses!$A$6:$A$205,A1631)=1,B1631&lt;&gt;"",COUNTIFS($A$6:$A$2005,A1631,$B$6:$B$2005,B1631)=1,OR(F1631="Supported",F1631="Unsupported",F1631="Contradicted"),OR(G1631="Supported",G1631="Wrong citation",G1631="Missing citation"),OR(H1631="Yes",H1631="No"),I1631&lt;&gt;"",OR(F1631&lt;&gt;"Supported",E1631&lt;&gt;""),OR(G1631&lt;&gt;"Supported",AND(F1631="Supported",D1631&lt;&gt;"",E1631&lt;&gt;""))),"Yes","No"))</f>
        <v/>
      </c>
    </row>
    <row r="1632" spans="11:11">
      <c r="K1632" s="11">
        <f>IF(OR(A1632="",C1632=""),"",IF(AND(COUNTIF(Responses!$A$6:$A$205,A1632)=1,B1632&lt;&gt;"",COUNTIFS($A$6:$A$2005,A1632,$B$6:$B$2005,B1632)=1,OR(F1632="Supported",F1632="Unsupported",F1632="Contradicted"),OR(G1632="Supported",G1632="Wrong citation",G1632="Missing citation"),OR(H1632="Yes",H1632="No"),I1632&lt;&gt;"",OR(F1632&lt;&gt;"Supported",E1632&lt;&gt;""),OR(G1632&lt;&gt;"Supported",AND(F1632="Supported",D1632&lt;&gt;"",E1632&lt;&gt;""))),"Yes","No"))</f>
        <v/>
      </c>
    </row>
    <row r="1633" spans="11:11">
      <c r="K1633" s="11">
        <f>IF(OR(A1633="",C1633=""),"",IF(AND(COUNTIF(Responses!$A$6:$A$205,A1633)=1,B1633&lt;&gt;"",COUNTIFS($A$6:$A$2005,A1633,$B$6:$B$2005,B1633)=1,OR(F1633="Supported",F1633="Unsupported",F1633="Contradicted"),OR(G1633="Supported",G1633="Wrong citation",G1633="Missing citation"),OR(H1633="Yes",H1633="No"),I1633&lt;&gt;"",OR(F1633&lt;&gt;"Supported",E1633&lt;&gt;""),OR(G1633&lt;&gt;"Supported",AND(F1633="Supported",D1633&lt;&gt;"",E1633&lt;&gt;""))),"Yes","No"))</f>
        <v/>
      </c>
    </row>
    <row r="1634" spans="11:11">
      <c r="K1634" s="11">
        <f>IF(OR(A1634="",C1634=""),"",IF(AND(COUNTIF(Responses!$A$6:$A$205,A1634)=1,B1634&lt;&gt;"",COUNTIFS($A$6:$A$2005,A1634,$B$6:$B$2005,B1634)=1,OR(F1634="Supported",F1634="Unsupported",F1634="Contradicted"),OR(G1634="Supported",G1634="Wrong citation",G1634="Missing citation"),OR(H1634="Yes",H1634="No"),I1634&lt;&gt;"",OR(F1634&lt;&gt;"Supported",E1634&lt;&gt;""),OR(G1634&lt;&gt;"Supported",AND(F1634="Supported",D1634&lt;&gt;"",E1634&lt;&gt;""))),"Yes","No"))</f>
        <v/>
      </c>
    </row>
    <row r="1635" spans="11:11">
      <c r="K1635" s="11">
        <f>IF(OR(A1635="",C1635=""),"",IF(AND(COUNTIF(Responses!$A$6:$A$205,A1635)=1,B1635&lt;&gt;"",COUNTIFS($A$6:$A$2005,A1635,$B$6:$B$2005,B1635)=1,OR(F1635="Supported",F1635="Unsupported",F1635="Contradicted"),OR(G1635="Supported",G1635="Wrong citation",G1635="Missing citation"),OR(H1635="Yes",H1635="No"),I1635&lt;&gt;"",OR(F1635&lt;&gt;"Supported",E1635&lt;&gt;""),OR(G1635&lt;&gt;"Supported",AND(F1635="Supported",D1635&lt;&gt;"",E1635&lt;&gt;""))),"Yes","No"))</f>
        <v/>
      </c>
    </row>
    <row r="1636" spans="11:11">
      <c r="K1636" s="11">
        <f>IF(OR(A1636="",C1636=""),"",IF(AND(COUNTIF(Responses!$A$6:$A$205,A1636)=1,B1636&lt;&gt;"",COUNTIFS($A$6:$A$2005,A1636,$B$6:$B$2005,B1636)=1,OR(F1636="Supported",F1636="Unsupported",F1636="Contradicted"),OR(G1636="Supported",G1636="Wrong citation",G1636="Missing citation"),OR(H1636="Yes",H1636="No"),I1636&lt;&gt;"",OR(F1636&lt;&gt;"Supported",E1636&lt;&gt;""),OR(G1636&lt;&gt;"Supported",AND(F1636="Supported",D1636&lt;&gt;"",E1636&lt;&gt;""))),"Yes","No"))</f>
        <v/>
      </c>
    </row>
    <row r="1637" spans="11:11">
      <c r="K1637" s="11">
        <f>IF(OR(A1637="",C1637=""),"",IF(AND(COUNTIF(Responses!$A$6:$A$205,A1637)=1,B1637&lt;&gt;"",COUNTIFS($A$6:$A$2005,A1637,$B$6:$B$2005,B1637)=1,OR(F1637="Supported",F1637="Unsupported",F1637="Contradicted"),OR(G1637="Supported",G1637="Wrong citation",G1637="Missing citation"),OR(H1637="Yes",H1637="No"),I1637&lt;&gt;"",OR(F1637&lt;&gt;"Supported",E1637&lt;&gt;""),OR(G1637&lt;&gt;"Supported",AND(F1637="Supported",D1637&lt;&gt;"",E1637&lt;&gt;""))),"Yes","No"))</f>
        <v/>
      </c>
    </row>
    <row r="1638" spans="11:11">
      <c r="K1638" s="11">
        <f>IF(OR(A1638="",C1638=""),"",IF(AND(COUNTIF(Responses!$A$6:$A$205,A1638)=1,B1638&lt;&gt;"",COUNTIFS($A$6:$A$2005,A1638,$B$6:$B$2005,B1638)=1,OR(F1638="Supported",F1638="Unsupported",F1638="Contradicted"),OR(G1638="Supported",G1638="Wrong citation",G1638="Missing citation"),OR(H1638="Yes",H1638="No"),I1638&lt;&gt;"",OR(F1638&lt;&gt;"Supported",E1638&lt;&gt;""),OR(G1638&lt;&gt;"Supported",AND(F1638="Supported",D1638&lt;&gt;"",E1638&lt;&gt;""))),"Yes","No"))</f>
        <v/>
      </c>
    </row>
    <row r="1639" spans="11:11">
      <c r="K1639" s="11">
        <f>IF(OR(A1639="",C1639=""),"",IF(AND(COUNTIF(Responses!$A$6:$A$205,A1639)=1,B1639&lt;&gt;"",COUNTIFS($A$6:$A$2005,A1639,$B$6:$B$2005,B1639)=1,OR(F1639="Supported",F1639="Unsupported",F1639="Contradicted"),OR(G1639="Supported",G1639="Wrong citation",G1639="Missing citation"),OR(H1639="Yes",H1639="No"),I1639&lt;&gt;"",OR(F1639&lt;&gt;"Supported",E1639&lt;&gt;""),OR(G1639&lt;&gt;"Supported",AND(F1639="Supported",D1639&lt;&gt;"",E1639&lt;&gt;""))),"Yes","No"))</f>
        <v/>
      </c>
    </row>
    <row r="1640" spans="11:11">
      <c r="K1640" s="11">
        <f>IF(OR(A1640="",C1640=""),"",IF(AND(COUNTIF(Responses!$A$6:$A$205,A1640)=1,B1640&lt;&gt;"",COUNTIFS($A$6:$A$2005,A1640,$B$6:$B$2005,B1640)=1,OR(F1640="Supported",F1640="Unsupported",F1640="Contradicted"),OR(G1640="Supported",G1640="Wrong citation",G1640="Missing citation"),OR(H1640="Yes",H1640="No"),I1640&lt;&gt;"",OR(F1640&lt;&gt;"Supported",E1640&lt;&gt;""),OR(G1640&lt;&gt;"Supported",AND(F1640="Supported",D1640&lt;&gt;"",E1640&lt;&gt;""))),"Yes","No"))</f>
        <v/>
      </c>
    </row>
    <row r="1641" spans="11:11">
      <c r="K1641" s="11">
        <f>IF(OR(A1641="",C1641=""),"",IF(AND(COUNTIF(Responses!$A$6:$A$205,A1641)=1,B1641&lt;&gt;"",COUNTIFS($A$6:$A$2005,A1641,$B$6:$B$2005,B1641)=1,OR(F1641="Supported",F1641="Unsupported",F1641="Contradicted"),OR(G1641="Supported",G1641="Wrong citation",G1641="Missing citation"),OR(H1641="Yes",H1641="No"),I1641&lt;&gt;"",OR(F1641&lt;&gt;"Supported",E1641&lt;&gt;""),OR(G1641&lt;&gt;"Supported",AND(F1641="Supported",D1641&lt;&gt;"",E1641&lt;&gt;""))),"Yes","No"))</f>
        <v/>
      </c>
    </row>
    <row r="1642" spans="11:11">
      <c r="K1642" s="11">
        <f>IF(OR(A1642="",C1642=""),"",IF(AND(COUNTIF(Responses!$A$6:$A$205,A1642)=1,B1642&lt;&gt;"",COUNTIFS($A$6:$A$2005,A1642,$B$6:$B$2005,B1642)=1,OR(F1642="Supported",F1642="Unsupported",F1642="Contradicted"),OR(G1642="Supported",G1642="Wrong citation",G1642="Missing citation"),OR(H1642="Yes",H1642="No"),I1642&lt;&gt;"",OR(F1642&lt;&gt;"Supported",E1642&lt;&gt;""),OR(G1642&lt;&gt;"Supported",AND(F1642="Supported",D1642&lt;&gt;"",E1642&lt;&gt;""))),"Yes","No"))</f>
        <v/>
      </c>
    </row>
    <row r="1643" spans="11:11">
      <c r="K1643" s="11">
        <f>IF(OR(A1643="",C1643=""),"",IF(AND(COUNTIF(Responses!$A$6:$A$205,A1643)=1,B1643&lt;&gt;"",COUNTIFS($A$6:$A$2005,A1643,$B$6:$B$2005,B1643)=1,OR(F1643="Supported",F1643="Unsupported",F1643="Contradicted"),OR(G1643="Supported",G1643="Wrong citation",G1643="Missing citation"),OR(H1643="Yes",H1643="No"),I1643&lt;&gt;"",OR(F1643&lt;&gt;"Supported",E1643&lt;&gt;""),OR(G1643&lt;&gt;"Supported",AND(F1643="Supported",D1643&lt;&gt;"",E1643&lt;&gt;""))),"Yes","No"))</f>
        <v/>
      </c>
    </row>
    <row r="1644" spans="11:11">
      <c r="K1644" s="11">
        <f>IF(OR(A1644="",C1644=""),"",IF(AND(COUNTIF(Responses!$A$6:$A$205,A1644)=1,B1644&lt;&gt;"",COUNTIFS($A$6:$A$2005,A1644,$B$6:$B$2005,B1644)=1,OR(F1644="Supported",F1644="Unsupported",F1644="Contradicted"),OR(G1644="Supported",G1644="Wrong citation",G1644="Missing citation"),OR(H1644="Yes",H1644="No"),I1644&lt;&gt;"",OR(F1644&lt;&gt;"Supported",E1644&lt;&gt;""),OR(G1644&lt;&gt;"Supported",AND(F1644="Supported",D1644&lt;&gt;"",E1644&lt;&gt;""))),"Yes","No"))</f>
        <v/>
      </c>
    </row>
    <row r="1645" spans="11:11">
      <c r="K1645" s="11">
        <f>IF(OR(A1645="",C1645=""),"",IF(AND(COUNTIF(Responses!$A$6:$A$205,A1645)=1,B1645&lt;&gt;"",COUNTIFS($A$6:$A$2005,A1645,$B$6:$B$2005,B1645)=1,OR(F1645="Supported",F1645="Unsupported",F1645="Contradicted"),OR(G1645="Supported",G1645="Wrong citation",G1645="Missing citation"),OR(H1645="Yes",H1645="No"),I1645&lt;&gt;"",OR(F1645&lt;&gt;"Supported",E1645&lt;&gt;""),OR(G1645&lt;&gt;"Supported",AND(F1645="Supported",D1645&lt;&gt;"",E1645&lt;&gt;""))),"Yes","No"))</f>
        <v/>
      </c>
    </row>
    <row r="1646" spans="11:11">
      <c r="K1646" s="11">
        <f>IF(OR(A1646="",C1646=""),"",IF(AND(COUNTIF(Responses!$A$6:$A$205,A1646)=1,B1646&lt;&gt;"",COUNTIFS($A$6:$A$2005,A1646,$B$6:$B$2005,B1646)=1,OR(F1646="Supported",F1646="Unsupported",F1646="Contradicted"),OR(G1646="Supported",G1646="Wrong citation",G1646="Missing citation"),OR(H1646="Yes",H1646="No"),I1646&lt;&gt;"",OR(F1646&lt;&gt;"Supported",E1646&lt;&gt;""),OR(G1646&lt;&gt;"Supported",AND(F1646="Supported",D1646&lt;&gt;"",E1646&lt;&gt;""))),"Yes","No"))</f>
        <v/>
      </c>
    </row>
    <row r="1647" spans="11:11">
      <c r="K1647" s="11">
        <f>IF(OR(A1647="",C1647=""),"",IF(AND(COUNTIF(Responses!$A$6:$A$205,A1647)=1,B1647&lt;&gt;"",COUNTIFS($A$6:$A$2005,A1647,$B$6:$B$2005,B1647)=1,OR(F1647="Supported",F1647="Unsupported",F1647="Contradicted"),OR(G1647="Supported",G1647="Wrong citation",G1647="Missing citation"),OR(H1647="Yes",H1647="No"),I1647&lt;&gt;"",OR(F1647&lt;&gt;"Supported",E1647&lt;&gt;""),OR(G1647&lt;&gt;"Supported",AND(F1647="Supported",D1647&lt;&gt;"",E1647&lt;&gt;""))),"Yes","No"))</f>
        <v/>
      </c>
    </row>
    <row r="1648" spans="11:11">
      <c r="K1648" s="11">
        <f>IF(OR(A1648="",C1648=""),"",IF(AND(COUNTIF(Responses!$A$6:$A$205,A1648)=1,B1648&lt;&gt;"",COUNTIFS($A$6:$A$2005,A1648,$B$6:$B$2005,B1648)=1,OR(F1648="Supported",F1648="Unsupported",F1648="Contradicted"),OR(G1648="Supported",G1648="Wrong citation",G1648="Missing citation"),OR(H1648="Yes",H1648="No"),I1648&lt;&gt;"",OR(F1648&lt;&gt;"Supported",E1648&lt;&gt;""),OR(G1648&lt;&gt;"Supported",AND(F1648="Supported",D1648&lt;&gt;"",E1648&lt;&gt;""))),"Yes","No"))</f>
        <v/>
      </c>
    </row>
    <row r="1649" spans="11:11">
      <c r="K1649" s="11">
        <f>IF(OR(A1649="",C1649=""),"",IF(AND(COUNTIF(Responses!$A$6:$A$205,A1649)=1,B1649&lt;&gt;"",COUNTIFS($A$6:$A$2005,A1649,$B$6:$B$2005,B1649)=1,OR(F1649="Supported",F1649="Unsupported",F1649="Contradicted"),OR(G1649="Supported",G1649="Wrong citation",G1649="Missing citation"),OR(H1649="Yes",H1649="No"),I1649&lt;&gt;"",OR(F1649&lt;&gt;"Supported",E1649&lt;&gt;""),OR(G1649&lt;&gt;"Supported",AND(F1649="Supported",D1649&lt;&gt;"",E1649&lt;&gt;""))),"Yes","No"))</f>
        <v/>
      </c>
    </row>
    <row r="1650" spans="11:11">
      <c r="K1650" s="11">
        <f>IF(OR(A1650="",C1650=""),"",IF(AND(COUNTIF(Responses!$A$6:$A$205,A1650)=1,B1650&lt;&gt;"",COUNTIFS($A$6:$A$2005,A1650,$B$6:$B$2005,B1650)=1,OR(F1650="Supported",F1650="Unsupported",F1650="Contradicted"),OR(G1650="Supported",G1650="Wrong citation",G1650="Missing citation"),OR(H1650="Yes",H1650="No"),I1650&lt;&gt;"",OR(F1650&lt;&gt;"Supported",E1650&lt;&gt;""),OR(G1650&lt;&gt;"Supported",AND(F1650="Supported",D1650&lt;&gt;"",E1650&lt;&gt;""))),"Yes","No"))</f>
        <v/>
      </c>
    </row>
    <row r="1651" spans="11:11">
      <c r="K1651" s="11">
        <f>IF(OR(A1651="",C1651=""),"",IF(AND(COUNTIF(Responses!$A$6:$A$205,A1651)=1,B1651&lt;&gt;"",COUNTIFS($A$6:$A$2005,A1651,$B$6:$B$2005,B1651)=1,OR(F1651="Supported",F1651="Unsupported",F1651="Contradicted"),OR(G1651="Supported",G1651="Wrong citation",G1651="Missing citation"),OR(H1651="Yes",H1651="No"),I1651&lt;&gt;"",OR(F1651&lt;&gt;"Supported",E1651&lt;&gt;""),OR(G1651&lt;&gt;"Supported",AND(F1651="Supported",D1651&lt;&gt;"",E1651&lt;&gt;""))),"Yes","No"))</f>
        <v/>
      </c>
    </row>
    <row r="1652" spans="11:11">
      <c r="K1652" s="11">
        <f>IF(OR(A1652="",C1652=""),"",IF(AND(COUNTIF(Responses!$A$6:$A$205,A1652)=1,B1652&lt;&gt;"",COUNTIFS($A$6:$A$2005,A1652,$B$6:$B$2005,B1652)=1,OR(F1652="Supported",F1652="Unsupported",F1652="Contradicted"),OR(G1652="Supported",G1652="Wrong citation",G1652="Missing citation"),OR(H1652="Yes",H1652="No"),I1652&lt;&gt;"",OR(F1652&lt;&gt;"Supported",E1652&lt;&gt;""),OR(G1652&lt;&gt;"Supported",AND(F1652="Supported",D1652&lt;&gt;"",E1652&lt;&gt;""))),"Yes","No"))</f>
        <v/>
      </c>
    </row>
    <row r="1653" spans="11:11">
      <c r="K1653" s="11">
        <f>IF(OR(A1653="",C1653=""),"",IF(AND(COUNTIF(Responses!$A$6:$A$205,A1653)=1,B1653&lt;&gt;"",COUNTIFS($A$6:$A$2005,A1653,$B$6:$B$2005,B1653)=1,OR(F1653="Supported",F1653="Unsupported",F1653="Contradicted"),OR(G1653="Supported",G1653="Wrong citation",G1653="Missing citation"),OR(H1653="Yes",H1653="No"),I1653&lt;&gt;"",OR(F1653&lt;&gt;"Supported",E1653&lt;&gt;""),OR(G1653&lt;&gt;"Supported",AND(F1653="Supported",D1653&lt;&gt;"",E1653&lt;&gt;""))),"Yes","No"))</f>
        <v/>
      </c>
    </row>
    <row r="1654" spans="11:11">
      <c r="K1654" s="11">
        <f>IF(OR(A1654="",C1654=""),"",IF(AND(COUNTIF(Responses!$A$6:$A$205,A1654)=1,B1654&lt;&gt;"",COUNTIFS($A$6:$A$2005,A1654,$B$6:$B$2005,B1654)=1,OR(F1654="Supported",F1654="Unsupported",F1654="Contradicted"),OR(G1654="Supported",G1654="Wrong citation",G1654="Missing citation"),OR(H1654="Yes",H1654="No"),I1654&lt;&gt;"",OR(F1654&lt;&gt;"Supported",E1654&lt;&gt;""),OR(G1654&lt;&gt;"Supported",AND(F1654="Supported",D1654&lt;&gt;"",E1654&lt;&gt;""))),"Yes","No"))</f>
        <v/>
      </c>
    </row>
    <row r="1655" spans="11:11">
      <c r="K1655" s="11">
        <f>IF(OR(A1655="",C1655=""),"",IF(AND(COUNTIF(Responses!$A$6:$A$205,A1655)=1,B1655&lt;&gt;"",COUNTIFS($A$6:$A$2005,A1655,$B$6:$B$2005,B1655)=1,OR(F1655="Supported",F1655="Unsupported",F1655="Contradicted"),OR(G1655="Supported",G1655="Wrong citation",G1655="Missing citation"),OR(H1655="Yes",H1655="No"),I1655&lt;&gt;"",OR(F1655&lt;&gt;"Supported",E1655&lt;&gt;""),OR(G1655&lt;&gt;"Supported",AND(F1655="Supported",D1655&lt;&gt;"",E1655&lt;&gt;""))),"Yes","No"))</f>
        <v/>
      </c>
    </row>
    <row r="1656" spans="11:11">
      <c r="K1656" s="11">
        <f>IF(OR(A1656="",C1656=""),"",IF(AND(COUNTIF(Responses!$A$6:$A$205,A1656)=1,B1656&lt;&gt;"",COUNTIFS($A$6:$A$2005,A1656,$B$6:$B$2005,B1656)=1,OR(F1656="Supported",F1656="Unsupported",F1656="Contradicted"),OR(G1656="Supported",G1656="Wrong citation",G1656="Missing citation"),OR(H1656="Yes",H1656="No"),I1656&lt;&gt;"",OR(F1656&lt;&gt;"Supported",E1656&lt;&gt;""),OR(G1656&lt;&gt;"Supported",AND(F1656="Supported",D1656&lt;&gt;"",E1656&lt;&gt;""))),"Yes","No"))</f>
        <v/>
      </c>
    </row>
    <row r="1657" spans="11:11">
      <c r="K1657" s="11">
        <f>IF(OR(A1657="",C1657=""),"",IF(AND(COUNTIF(Responses!$A$6:$A$205,A1657)=1,B1657&lt;&gt;"",COUNTIFS($A$6:$A$2005,A1657,$B$6:$B$2005,B1657)=1,OR(F1657="Supported",F1657="Unsupported",F1657="Contradicted"),OR(G1657="Supported",G1657="Wrong citation",G1657="Missing citation"),OR(H1657="Yes",H1657="No"),I1657&lt;&gt;"",OR(F1657&lt;&gt;"Supported",E1657&lt;&gt;""),OR(G1657&lt;&gt;"Supported",AND(F1657="Supported",D1657&lt;&gt;"",E1657&lt;&gt;""))),"Yes","No"))</f>
        <v/>
      </c>
    </row>
    <row r="1658" spans="11:11">
      <c r="K1658" s="11">
        <f>IF(OR(A1658="",C1658=""),"",IF(AND(COUNTIF(Responses!$A$6:$A$205,A1658)=1,B1658&lt;&gt;"",COUNTIFS($A$6:$A$2005,A1658,$B$6:$B$2005,B1658)=1,OR(F1658="Supported",F1658="Unsupported",F1658="Contradicted"),OR(G1658="Supported",G1658="Wrong citation",G1658="Missing citation"),OR(H1658="Yes",H1658="No"),I1658&lt;&gt;"",OR(F1658&lt;&gt;"Supported",E1658&lt;&gt;""),OR(G1658&lt;&gt;"Supported",AND(F1658="Supported",D1658&lt;&gt;"",E1658&lt;&gt;""))),"Yes","No"))</f>
        <v/>
      </c>
    </row>
    <row r="1659" spans="11:11">
      <c r="K1659" s="11">
        <f>IF(OR(A1659="",C1659=""),"",IF(AND(COUNTIF(Responses!$A$6:$A$205,A1659)=1,B1659&lt;&gt;"",COUNTIFS($A$6:$A$2005,A1659,$B$6:$B$2005,B1659)=1,OR(F1659="Supported",F1659="Unsupported",F1659="Contradicted"),OR(G1659="Supported",G1659="Wrong citation",G1659="Missing citation"),OR(H1659="Yes",H1659="No"),I1659&lt;&gt;"",OR(F1659&lt;&gt;"Supported",E1659&lt;&gt;""),OR(G1659&lt;&gt;"Supported",AND(F1659="Supported",D1659&lt;&gt;"",E1659&lt;&gt;""))),"Yes","No"))</f>
        <v/>
      </c>
    </row>
    <row r="1660" spans="11:11">
      <c r="K1660" s="11">
        <f>IF(OR(A1660="",C1660=""),"",IF(AND(COUNTIF(Responses!$A$6:$A$205,A1660)=1,B1660&lt;&gt;"",COUNTIFS($A$6:$A$2005,A1660,$B$6:$B$2005,B1660)=1,OR(F1660="Supported",F1660="Unsupported",F1660="Contradicted"),OR(G1660="Supported",G1660="Wrong citation",G1660="Missing citation"),OR(H1660="Yes",H1660="No"),I1660&lt;&gt;"",OR(F1660&lt;&gt;"Supported",E1660&lt;&gt;""),OR(G1660&lt;&gt;"Supported",AND(F1660="Supported",D1660&lt;&gt;"",E1660&lt;&gt;""))),"Yes","No"))</f>
        <v/>
      </c>
    </row>
    <row r="1661" spans="11:11">
      <c r="K1661" s="11">
        <f>IF(OR(A1661="",C1661=""),"",IF(AND(COUNTIF(Responses!$A$6:$A$205,A1661)=1,B1661&lt;&gt;"",COUNTIFS($A$6:$A$2005,A1661,$B$6:$B$2005,B1661)=1,OR(F1661="Supported",F1661="Unsupported",F1661="Contradicted"),OR(G1661="Supported",G1661="Wrong citation",G1661="Missing citation"),OR(H1661="Yes",H1661="No"),I1661&lt;&gt;"",OR(F1661&lt;&gt;"Supported",E1661&lt;&gt;""),OR(G1661&lt;&gt;"Supported",AND(F1661="Supported",D1661&lt;&gt;"",E1661&lt;&gt;""))),"Yes","No"))</f>
        <v/>
      </c>
    </row>
    <row r="1662" spans="11:11">
      <c r="K1662" s="11">
        <f>IF(OR(A1662="",C1662=""),"",IF(AND(COUNTIF(Responses!$A$6:$A$205,A1662)=1,B1662&lt;&gt;"",COUNTIFS($A$6:$A$2005,A1662,$B$6:$B$2005,B1662)=1,OR(F1662="Supported",F1662="Unsupported",F1662="Contradicted"),OR(G1662="Supported",G1662="Wrong citation",G1662="Missing citation"),OR(H1662="Yes",H1662="No"),I1662&lt;&gt;"",OR(F1662&lt;&gt;"Supported",E1662&lt;&gt;""),OR(G1662&lt;&gt;"Supported",AND(F1662="Supported",D1662&lt;&gt;"",E1662&lt;&gt;""))),"Yes","No"))</f>
        <v/>
      </c>
    </row>
    <row r="1663" spans="11:11">
      <c r="K1663" s="11">
        <f>IF(OR(A1663="",C1663=""),"",IF(AND(COUNTIF(Responses!$A$6:$A$205,A1663)=1,B1663&lt;&gt;"",COUNTIFS($A$6:$A$2005,A1663,$B$6:$B$2005,B1663)=1,OR(F1663="Supported",F1663="Unsupported",F1663="Contradicted"),OR(G1663="Supported",G1663="Wrong citation",G1663="Missing citation"),OR(H1663="Yes",H1663="No"),I1663&lt;&gt;"",OR(F1663&lt;&gt;"Supported",E1663&lt;&gt;""),OR(G1663&lt;&gt;"Supported",AND(F1663="Supported",D1663&lt;&gt;"",E1663&lt;&gt;""))),"Yes","No"))</f>
        <v/>
      </c>
    </row>
    <row r="1664" spans="11:11">
      <c r="K1664" s="11">
        <f>IF(OR(A1664="",C1664=""),"",IF(AND(COUNTIF(Responses!$A$6:$A$205,A1664)=1,B1664&lt;&gt;"",COUNTIFS($A$6:$A$2005,A1664,$B$6:$B$2005,B1664)=1,OR(F1664="Supported",F1664="Unsupported",F1664="Contradicted"),OR(G1664="Supported",G1664="Wrong citation",G1664="Missing citation"),OR(H1664="Yes",H1664="No"),I1664&lt;&gt;"",OR(F1664&lt;&gt;"Supported",E1664&lt;&gt;""),OR(G1664&lt;&gt;"Supported",AND(F1664="Supported",D1664&lt;&gt;"",E1664&lt;&gt;""))),"Yes","No"))</f>
        <v/>
      </c>
    </row>
    <row r="1665" spans="11:11">
      <c r="K1665" s="11">
        <f>IF(OR(A1665="",C1665=""),"",IF(AND(COUNTIF(Responses!$A$6:$A$205,A1665)=1,B1665&lt;&gt;"",COUNTIFS($A$6:$A$2005,A1665,$B$6:$B$2005,B1665)=1,OR(F1665="Supported",F1665="Unsupported",F1665="Contradicted"),OR(G1665="Supported",G1665="Wrong citation",G1665="Missing citation"),OR(H1665="Yes",H1665="No"),I1665&lt;&gt;"",OR(F1665&lt;&gt;"Supported",E1665&lt;&gt;""),OR(G1665&lt;&gt;"Supported",AND(F1665="Supported",D1665&lt;&gt;"",E1665&lt;&gt;""))),"Yes","No"))</f>
        <v/>
      </c>
    </row>
    <row r="1666" spans="11:11">
      <c r="K1666" s="11">
        <f>IF(OR(A1666="",C1666=""),"",IF(AND(COUNTIF(Responses!$A$6:$A$205,A1666)=1,B1666&lt;&gt;"",COUNTIFS($A$6:$A$2005,A1666,$B$6:$B$2005,B1666)=1,OR(F1666="Supported",F1666="Unsupported",F1666="Contradicted"),OR(G1666="Supported",G1666="Wrong citation",G1666="Missing citation"),OR(H1666="Yes",H1666="No"),I1666&lt;&gt;"",OR(F1666&lt;&gt;"Supported",E1666&lt;&gt;""),OR(G1666&lt;&gt;"Supported",AND(F1666="Supported",D1666&lt;&gt;"",E1666&lt;&gt;""))),"Yes","No"))</f>
        <v/>
      </c>
    </row>
    <row r="1667" spans="11:11">
      <c r="K1667" s="11">
        <f>IF(OR(A1667="",C1667=""),"",IF(AND(COUNTIF(Responses!$A$6:$A$205,A1667)=1,B1667&lt;&gt;"",COUNTIFS($A$6:$A$2005,A1667,$B$6:$B$2005,B1667)=1,OR(F1667="Supported",F1667="Unsupported",F1667="Contradicted"),OR(G1667="Supported",G1667="Wrong citation",G1667="Missing citation"),OR(H1667="Yes",H1667="No"),I1667&lt;&gt;"",OR(F1667&lt;&gt;"Supported",E1667&lt;&gt;""),OR(G1667&lt;&gt;"Supported",AND(F1667="Supported",D1667&lt;&gt;"",E1667&lt;&gt;""))),"Yes","No"))</f>
        <v/>
      </c>
    </row>
    <row r="1668" spans="11:11">
      <c r="K1668" s="11">
        <f>IF(OR(A1668="",C1668=""),"",IF(AND(COUNTIF(Responses!$A$6:$A$205,A1668)=1,B1668&lt;&gt;"",COUNTIFS($A$6:$A$2005,A1668,$B$6:$B$2005,B1668)=1,OR(F1668="Supported",F1668="Unsupported",F1668="Contradicted"),OR(G1668="Supported",G1668="Wrong citation",G1668="Missing citation"),OR(H1668="Yes",H1668="No"),I1668&lt;&gt;"",OR(F1668&lt;&gt;"Supported",E1668&lt;&gt;""),OR(G1668&lt;&gt;"Supported",AND(F1668="Supported",D1668&lt;&gt;"",E1668&lt;&gt;""))),"Yes","No"))</f>
        <v/>
      </c>
    </row>
    <row r="1669" spans="11:11">
      <c r="K1669" s="11">
        <f>IF(OR(A1669="",C1669=""),"",IF(AND(COUNTIF(Responses!$A$6:$A$205,A1669)=1,B1669&lt;&gt;"",COUNTIFS($A$6:$A$2005,A1669,$B$6:$B$2005,B1669)=1,OR(F1669="Supported",F1669="Unsupported",F1669="Contradicted"),OR(G1669="Supported",G1669="Wrong citation",G1669="Missing citation"),OR(H1669="Yes",H1669="No"),I1669&lt;&gt;"",OR(F1669&lt;&gt;"Supported",E1669&lt;&gt;""),OR(G1669&lt;&gt;"Supported",AND(F1669="Supported",D1669&lt;&gt;"",E1669&lt;&gt;""))),"Yes","No"))</f>
        <v/>
      </c>
    </row>
    <row r="1670" spans="11:11">
      <c r="K1670" s="11">
        <f>IF(OR(A1670="",C1670=""),"",IF(AND(COUNTIF(Responses!$A$6:$A$205,A1670)=1,B1670&lt;&gt;"",COUNTIFS($A$6:$A$2005,A1670,$B$6:$B$2005,B1670)=1,OR(F1670="Supported",F1670="Unsupported",F1670="Contradicted"),OR(G1670="Supported",G1670="Wrong citation",G1670="Missing citation"),OR(H1670="Yes",H1670="No"),I1670&lt;&gt;"",OR(F1670&lt;&gt;"Supported",E1670&lt;&gt;""),OR(G1670&lt;&gt;"Supported",AND(F1670="Supported",D1670&lt;&gt;"",E1670&lt;&gt;""))),"Yes","No"))</f>
        <v/>
      </c>
    </row>
    <row r="1671" spans="11:11">
      <c r="K1671" s="11">
        <f>IF(OR(A1671="",C1671=""),"",IF(AND(COUNTIF(Responses!$A$6:$A$205,A1671)=1,B1671&lt;&gt;"",COUNTIFS($A$6:$A$2005,A1671,$B$6:$B$2005,B1671)=1,OR(F1671="Supported",F1671="Unsupported",F1671="Contradicted"),OR(G1671="Supported",G1671="Wrong citation",G1671="Missing citation"),OR(H1671="Yes",H1671="No"),I1671&lt;&gt;"",OR(F1671&lt;&gt;"Supported",E1671&lt;&gt;""),OR(G1671&lt;&gt;"Supported",AND(F1671="Supported",D1671&lt;&gt;"",E1671&lt;&gt;""))),"Yes","No"))</f>
        <v/>
      </c>
    </row>
    <row r="1672" spans="11:11">
      <c r="K1672" s="11">
        <f>IF(OR(A1672="",C1672=""),"",IF(AND(COUNTIF(Responses!$A$6:$A$205,A1672)=1,B1672&lt;&gt;"",COUNTIFS($A$6:$A$2005,A1672,$B$6:$B$2005,B1672)=1,OR(F1672="Supported",F1672="Unsupported",F1672="Contradicted"),OR(G1672="Supported",G1672="Wrong citation",G1672="Missing citation"),OR(H1672="Yes",H1672="No"),I1672&lt;&gt;"",OR(F1672&lt;&gt;"Supported",E1672&lt;&gt;""),OR(G1672&lt;&gt;"Supported",AND(F1672="Supported",D1672&lt;&gt;"",E1672&lt;&gt;""))),"Yes","No"))</f>
        <v/>
      </c>
    </row>
    <row r="1673" spans="11:11">
      <c r="K1673" s="11">
        <f>IF(OR(A1673="",C1673=""),"",IF(AND(COUNTIF(Responses!$A$6:$A$205,A1673)=1,B1673&lt;&gt;"",COUNTIFS($A$6:$A$2005,A1673,$B$6:$B$2005,B1673)=1,OR(F1673="Supported",F1673="Unsupported",F1673="Contradicted"),OR(G1673="Supported",G1673="Wrong citation",G1673="Missing citation"),OR(H1673="Yes",H1673="No"),I1673&lt;&gt;"",OR(F1673&lt;&gt;"Supported",E1673&lt;&gt;""),OR(G1673&lt;&gt;"Supported",AND(F1673="Supported",D1673&lt;&gt;"",E1673&lt;&gt;""))),"Yes","No"))</f>
        <v/>
      </c>
    </row>
    <row r="1674" spans="11:11">
      <c r="K1674" s="11">
        <f>IF(OR(A1674="",C1674=""),"",IF(AND(COUNTIF(Responses!$A$6:$A$205,A1674)=1,B1674&lt;&gt;"",COUNTIFS($A$6:$A$2005,A1674,$B$6:$B$2005,B1674)=1,OR(F1674="Supported",F1674="Unsupported",F1674="Contradicted"),OR(G1674="Supported",G1674="Wrong citation",G1674="Missing citation"),OR(H1674="Yes",H1674="No"),I1674&lt;&gt;"",OR(F1674&lt;&gt;"Supported",E1674&lt;&gt;""),OR(G1674&lt;&gt;"Supported",AND(F1674="Supported",D1674&lt;&gt;"",E1674&lt;&gt;""))),"Yes","No"))</f>
        <v/>
      </c>
    </row>
    <row r="1675" spans="11:11">
      <c r="K1675" s="11">
        <f>IF(OR(A1675="",C1675=""),"",IF(AND(COUNTIF(Responses!$A$6:$A$205,A1675)=1,B1675&lt;&gt;"",COUNTIFS($A$6:$A$2005,A1675,$B$6:$B$2005,B1675)=1,OR(F1675="Supported",F1675="Unsupported",F1675="Contradicted"),OR(G1675="Supported",G1675="Wrong citation",G1675="Missing citation"),OR(H1675="Yes",H1675="No"),I1675&lt;&gt;"",OR(F1675&lt;&gt;"Supported",E1675&lt;&gt;""),OR(G1675&lt;&gt;"Supported",AND(F1675="Supported",D1675&lt;&gt;"",E1675&lt;&gt;""))),"Yes","No"))</f>
        <v/>
      </c>
    </row>
    <row r="1676" spans="11:11">
      <c r="K1676" s="11">
        <f>IF(OR(A1676="",C1676=""),"",IF(AND(COUNTIF(Responses!$A$6:$A$205,A1676)=1,B1676&lt;&gt;"",COUNTIFS($A$6:$A$2005,A1676,$B$6:$B$2005,B1676)=1,OR(F1676="Supported",F1676="Unsupported",F1676="Contradicted"),OR(G1676="Supported",G1676="Wrong citation",G1676="Missing citation"),OR(H1676="Yes",H1676="No"),I1676&lt;&gt;"",OR(F1676&lt;&gt;"Supported",E1676&lt;&gt;""),OR(G1676&lt;&gt;"Supported",AND(F1676="Supported",D1676&lt;&gt;"",E1676&lt;&gt;""))),"Yes","No"))</f>
        <v/>
      </c>
    </row>
    <row r="1677" spans="11:11">
      <c r="K1677" s="11">
        <f>IF(OR(A1677="",C1677=""),"",IF(AND(COUNTIF(Responses!$A$6:$A$205,A1677)=1,B1677&lt;&gt;"",COUNTIFS($A$6:$A$2005,A1677,$B$6:$B$2005,B1677)=1,OR(F1677="Supported",F1677="Unsupported",F1677="Contradicted"),OR(G1677="Supported",G1677="Wrong citation",G1677="Missing citation"),OR(H1677="Yes",H1677="No"),I1677&lt;&gt;"",OR(F1677&lt;&gt;"Supported",E1677&lt;&gt;""),OR(G1677&lt;&gt;"Supported",AND(F1677="Supported",D1677&lt;&gt;"",E1677&lt;&gt;""))),"Yes","No"))</f>
        <v/>
      </c>
    </row>
    <row r="1678" spans="11:11">
      <c r="K1678" s="11">
        <f>IF(OR(A1678="",C1678=""),"",IF(AND(COUNTIF(Responses!$A$6:$A$205,A1678)=1,B1678&lt;&gt;"",COUNTIFS($A$6:$A$2005,A1678,$B$6:$B$2005,B1678)=1,OR(F1678="Supported",F1678="Unsupported",F1678="Contradicted"),OR(G1678="Supported",G1678="Wrong citation",G1678="Missing citation"),OR(H1678="Yes",H1678="No"),I1678&lt;&gt;"",OR(F1678&lt;&gt;"Supported",E1678&lt;&gt;""),OR(G1678&lt;&gt;"Supported",AND(F1678="Supported",D1678&lt;&gt;"",E1678&lt;&gt;""))),"Yes","No"))</f>
        <v/>
      </c>
    </row>
    <row r="1679" spans="11:11">
      <c r="K1679" s="11">
        <f>IF(OR(A1679="",C1679=""),"",IF(AND(COUNTIF(Responses!$A$6:$A$205,A1679)=1,B1679&lt;&gt;"",COUNTIFS($A$6:$A$2005,A1679,$B$6:$B$2005,B1679)=1,OR(F1679="Supported",F1679="Unsupported",F1679="Contradicted"),OR(G1679="Supported",G1679="Wrong citation",G1679="Missing citation"),OR(H1679="Yes",H1679="No"),I1679&lt;&gt;"",OR(F1679&lt;&gt;"Supported",E1679&lt;&gt;""),OR(G1679&lt;&gt;"Supported",AND(F1679="Supported",D1679&lt;&gt;"",E1679&lt;&gt;""))),"Yes","No"))</f>
        <v/>
      </c>
    </row>
    <row r="1680" spans="11:11">
      <c r="K1680" s="11">
        <f>IF(OR(A1680="",C1680=""),"",IF(AND(COUNTIF(Responses!$A$6:$A$205,A1680)=1,B1680&lt;&gt;"",COUNTIFS($A$6:$A$2005,A1680,$B$6:$B$2005,B1680)=1,OR(F1680="Supported",F1680="Unsupported",F1680="Contradicted"),OR(G1680="Supported",G1680="Wrong citation",G1680="Missing citation"),OR(H1680="Yes",H1680="No"),I1680&lt;&gt;"",OR(F1680&lt;&gt;"Supported",E1680&lt;&gt;""),OR(G1680&lt;&gt;"Supported",AND(F1680="Supported",D1680&lt;&gt;"",E1680&lt;&gt;""))),"Yes","No"))</f>
        <v/>
      </c>
    </row>
    <row r="1681" spans="11:11">
      <c r="K1681" s="11">
        <f>IF(OR(A1681="",C1681=""),"",IF(AND(COUNTIF(Responses!$A$6:$A$205,A1681)=1,B1681&lt;&gt;"",COUNTIFS($A$6:$A$2005,A1681,$B$6:$B$2005,B1681)=1,OR(F1681="Supported",F1681="Unsupported",F1681="Contradicted"),OR(G1681="Supported",G1681="Wrong citation",G1681="Missing citation"),OR(H1681="Yes",H1681="No"),I1681&lt;&gt;"",OR(F1681&lt;&gt;"Supported",E1681&lt;&gt;""),OR(G1681&lt;&gt;"Supported",AND(F1681="Supported",D1681&lt;&gt;"",E1681&lt;&gt;""))),"Yes","No"))</f>
        <v/>
      </c>
    </row>
    <row r="1682" spans="11:11">
      <c r="K1682" s="11">
        <f>IF(OR(A1682="",C1682=""),"",IF(AND(COUNTIF(Responses!$A$6:$A$205,A1682)=1,B1682&lt;&gt;"",COUNTIFS($A$6:$A$2005,A1682,$B$6:$B$2005,B1682)=1,OR(F1682="Supported",F1682="Unsupported",F1682="Contradicted"),OR(G1682="Supported",G1682="Wrong citation",G1682="Missing citation"),OR(H1682="Yes",H1682="No"),I1682&lt;&gt;"",OR(F1682&lt;&gt;"Supported",E1682&lt;&gt;""),OR(G1682&lt;&gt;"Supported",AND(F1682="Supported",D1682&lt;&gt;"",E1682&lt;&gt;""))),"Yes","No"))</f>
        <v/>
      </c>
    </row>
    <row r="1683" spans="11:11">
      <c r="K1683" s="11">
        <f>IF(OR(A1683="",C1683=""),"",IF(AND(COUNTIF(Responses!$A$6:$A$205,A1683)=1,B1683&lt;&gt;"",COUNTIFS($A$6:$A$2005,A1683,$B$6:$B$2005,B1683)=1,OR(F1683="Supported",F1683="Unsupported",F1683="Contradicted"),OR(G1683="Supported",G1683="Wrong citation",G1683="Missing citation"),OR(H1683="Yes",H1683="No"),I1683&lt;&gt;"",OR(F1683&lt;&gt;"Supported",E1683&lt;&gt;""),OR(G1683&lt;&gt;"Supported",AND(F1683="Supported",D1683&lt;&gt;"",E1683&lt;&gt;""))),"Yes","No"))</f>
        <v/>
      </c>
    </row>
    <row r="1684" spans="11:11">
      <c r="K1684" s="11">
        <f>IF(OR(A1684="",C1684=""),"",IF(AND(COUNTIF(Responses!$A$6:$A$205,A1684)=1,B1684&lt;&gt;"",COUNTIFS($A$6:$A$2005,A1684,$B$6:$B$2005,B1684)=1,OR(F1684="Supported",F1684="Unsupported",F1684="Contradicted"),OR(G1684="Supported",G1684="Wrong citation",G1684="Missing citation"),OR(H1684="Yes",H1684="No"),I1684&lt;&gt;"",OR(F1684&lt;&gt;"Supported",E1684&lt;&gt;""),OR(G1684&lt;&gt;"Supported",AND(F1684="Supported",D1684&lt;&gt;"",E1684&lt;&gt;""))),"Yes","No"))</f>
        <v/>
      </c>
    </row>
    <row r="1685" spans="11:11">
      <c r="K1685" s="11">
        <f>IF(OR(A1685="",C1685=""),"",IF(AND(COUNTIF(Responses!$A$6:$A$205,A1685)=1,B1685&lt;&gt;"",COUNTIFS($A$6:$A$2005,A1685,$B$6:$B$2005,B1685)=1,OR(F1685="Supported",F1685="Unsupported",F1685="Contradicted"),OR(G1685="Supported",G1685="Wrong citation",G1685="Missing citation"),OR(H1685="Yes",H1685="No"),I1685&lt;&gt;"",OR(F1685&lt;&gt;"Supported",E1685&lt;&gt;""),OR(G1685&lt;&gt;"Supported",AND(F1685="Supported",D1685&lt;&gt;"",E1685&lt;&gt;""))),"Yes","No"))</f>
        <v/>
      </c>
    </row>
    <row r="1686" spans="11:11">
      <c r="K1686" s="11">
        <f>IF(OR(A1686="",C1686=""),"",IF(AND(COUNTIF(Responses!$A$6:$A$205,A1686)=1,B1686&lt;&gt;"",COUNTIFS($A$6:$A$2005,A1686,$B$6:$B$2005,B1686)=1,OR(F1686="Supported",F1686="Unsupported",F1686="Contradicted"),OR(G1686="Supported",G1686="Wrong citation",G1686="Missing citation"),OR(H1686="Yes",H1686="No"),I1686&lt;&gt;"",OR(F1686&lt;&gt;"Supported",E1686&lt;&gt;""),OR(G1686&lt;&gt;"Supported",AND(F1686="Supported",D1686&lt;&gt;"",E1686&lt;&gt;""))),"Yes","No"))</f>
        <v/>
      </c>
    </row>
    <row r="1687" spans="11:11">
      <c r="K1687" s="11">
        <f>IF(OR(A1687="",C1687=""),"",IF(AND(COUNTIF(Responses!$A$6:$A$205,A1687)=1,B1687&lt;&gt;"",COUNTIFS($A$6:$A$2005,A1687,$B$6:$B$2005,B1687)=1,OR(F1687="Supported",F1687="Unsupported",F1687="Contradicted"),OR(G1687="Supported",G1687="Wrong citation",G1687="Missing citation"),OR(H1687="Yes",H1687="No"),I1687&lt;&gt;"",OR(F1687&lt;&gt;"Supported",E1687&lt;&gt;""),OR(G1687&lt;&gt;"Supported",AND(F1687="Supported",D1687&lt;&gt;"",E1687&lt;&gt;""))),"Yes","No"))</f>
        <v/>
      </c>
    </row>
    <row r="1688" spans="11:11">
      <c r="K1688" s="11">
        <f>IF(OR(A1688="",C1688=""),"",IF(AND(COUNTIF(Responses!$A$6:$A$205,A1688)=1,B1688&lt;&gt;"",COUNTIFS($A$6:$A$2005,A1688,$B$6:$B$2005,B1688)=1,OR(F1688="Supported",F1688="Unsupported",F1688="Contradicted"),OR(G1688="Supported",G1688="Wrong citation",G1688="Missing citation"),OR(H1688="Yes",H1688="No"),I1688&lt;&gt;"",OR(F1688&lt;&gt;"Supported",E1688&lt;&gt;""),OR(G1688&lt;&gt;"Supported",AND(F1688="Supported",D1688&lt;&gt;"",E1688&lt;&gt;""))),"Yes","No"))</f>
        <v/>
      </c>
    </row>
    <row r="1689" spans="11:11">
      <c r="K1689" s="11">
        <f>IF(OR(A1689="",C1689=""),"",IF(AND(COUNTIF(Responses!$A$6:$A$205,A1689)=1,B1689&lt;&gt;"",COUNTIFS($A$6:$A$2005,A1689,$B$6:$B$2005,B1689)=1,OR(F1689="Supported",F1689="Unsupported",F1689="Contradicted"),OR(G1689="Supported",G1689="Wrong citation",G1689="Missing citation"),OR(H1689="Yes",H1689="No"),I1689&lt;&gt;"",OR(F1689&lt;&gt;"Supported",E1689&lt;&gt;""),OR(G1689&lt;&gt;"Supported",AND(F1689="Supported",D1689&lt;&gt;"",E1689&lt;&gt;""))),"Yes","No"))</f>
        <v/>
      </c>
    </row>
    <row r="1690" spans="11:11">
      <c r="K1690" s="11">
        <f>IF(OR(A1690="",C1690=""),"",IF(AND(COUNTIF(Responses!$A$6:$A$205,A1690)=1,B1690&lt;&gt;"",COUNTIFS($A$6:$A$2005,A1690,$B$6:$B$2005,B1690)=1,OR(F1690="Supported",F1690="Unsupported",F1690="Contradicted"),OR(G1690="Supported",G1690="Wrong citation",G1690="Missing citation"),OR(H1690="Yes",H1690="No"),I1690&lt;&gt;"",OR(F1690&lt;&gt;"Supported",E1690&lt;&gt;""),OR(G1690&lt;&gt;"Supported",AND(F1690="Supported",D1690&lt;&gt;"",E1690&lt;&gt;""))),"Yes","No"))</f>
        <v/>
      </c>
    </row>
    <row r="1691" spans="11:11">
      <c r="K1691" s="11">
        <f>IF(OR(A1691="",C1691=""),"",IF(AND(COUNTIF(Responses!$A$6:$A$205,A1691)=1,B1691&lt;&gt;"",COUNTIFS($A$6:$A$2005,A1691,$B$6:$B$2005,B1691)=1,OR(F1691="Supported",F1691="Unsupported",F1691="Contradicted"),OR(G1691="Supported",G1691="Wrong citation",G1691="Missing citation"),OR(H1691="Yes",H1691="No"),I1691&lt;&gt;"",OR(F1691&lt;&gt;"Supported",E1691&lt;&gt;""),OR(G1691&lt;&gt;"Supported",AND(F1691="Supported",D1691&lt;&gt;"",E1691&lt;&gt;""))),"Yes","No"))</f>
        <v/>
      </c>
    </row>
    <row r="1692" spans="11:11">
      <c r="K1692" s="11">
        <f>IF(OR(A1692="",C1692=""),"",IF(AND(COUNTIF(Responses!$A$6:$A$205,A1692)=1,B1692&lt;&gt;"",COUNTIFS($A$6:$A$2005,A1692,$B$6:$B$2005,B1692)=1,OR(F1692="Supported",F1692="Unsupported",F1692="Contradicted"),OR(G1692="Supported",G1692="Wrong citation",G1692="Missing citation"),OR(H1692="Yes",H1692="No"),I1692&lt;&gt;"",OR(F1692&lt;&gt;"Supported",E1692&lt;&gt;""),OR(G1692&lt;&gt;"Supported",AND(F1692="Supported",D1692&lt;&gt;"",E1692&lt;&gt;""))),"Yes","No"))</f>
        <v/>
      </c>
    </row>
    <row r="1693" spans="11:11">
      <c r="K1693" s="11">
        <f>IF(OR(A1693="",C1693=""),"",IF(AND(COUNTIF(Responses!$A$6:$A$205,A1693)=1,B1693&lt;&gt;"",COUNTIFS($A$6:$A$2005,A1693,$B$6:$B$2005,B1693)=1,OR(F1693="Supported",F1693="Unsupported",F1693="Contradicted"),OR(G1693="Supported",G1693="Wrong citation",G1693="Missing citation"),OR(H1693="Yes",H1693="No"),I1693&lt;&gt;"",OR(F1693&lt;&gt;"Supported",E1693&lt;&gt;""),OR(G1693&lt;&gt;"Supported",AND(F1693="Supported",D1693&lt;&gt;"",E1693&lt;&gt;""))),"Yes","No"))</f>
        <v/>
      </c>
    </row>
    <row r="1694" spans="11:11">
      <c r="K1694" s="11">
        <f>IF(OR(A1694="",C1694=""),"",IF(AND(COUNTIF(Responses!$A$6:$A$205,A1694)=1,B1694&lt;&gt;"",COUNTIFS($A$6:$A$2005,A1694,$B$6:$B$2005,B1694)=1,OR(F1694="Supported",F1694="Unsupported",F1694="Contradicted"),OR(G1694="Supported",G1694="Wrong citation",G1694="Missing citation"),OR(H1694="Yes",H1694="No"),I1694&lt;&gt;"",OR(F1694&lt;&gt;"Supported",E1694&lt;&gt;""),OR(G1694&lt;&gt;"Supported",AND(F1694="Supported",D1694&lt;&gt;"",E1694&lt;&gt;""))),"Yes","No"))</f>
        <v/>
      </c>
    </row>
    <row r="1695" spans="11:11">
      <c r="K1695" s="11">
        <f>IF(OR(A1695="",C1695=""),"",IF(AND(COUNTIF(Responses!$A$6:$A$205,A1695)=1,B1695&lt;&gt;"",COUNTIFS($A$6:$A$2005,A1695,$B$6:$B$2005,B1695)=1,OR(F1695="Supported",F1695="Unsupported",F1695="Contradicted"),OR(G1695="Supported",G1695="Wrong citation",G1695="Missing citation"),OR(H1695="Yes",H1695="No"),I1695&lt;&gt;"",OR(F1695&lt;&gt;"Supported",E1695&lt;&gt;""),OR(G1695&lt;&gt;"Supported",AND(F1695="Supported",D1695&lt;&gt;"",E1695&lt;&gt;""))),"Yes","No"))</f>
        <v/>
      </c>
    </row>
    <row r="1696" spans="11:11">
      <c r="K1696" s="11">
        <f>IF(OR(A1696="",C1696=""),"",IF(AND(COUNTIF(Responses!$A$6:$A$205,A1696)=1,B1696&lt;&gt;"",COUNTIFS($A$6:$A$2005,A1696,$B$6:$B$2005,B1696)=1,OR(F1696="Supported",F1696="Unsupported",F1696="Contradicted"),OR(G1696="Supported",G1696="Wrong citation",G1696="Missing citation"),OR(H1696="Yes",H1696="No"),I1696&lt;&gt;"",OR(F1696&lt;&gt;"Supported",E1696&lt;&gt;""),OR(G1696&lt;&gt;"Supported",AND(F1696="Supported",D1696&lt;&gt;"",E1696&lt;&gt;""))),"Yes","No"))</f>
        <v/>
      </c>
    </row>
    <row r="1697" spans="11:11">
      <c r="K1697" s="11">
        <f>IF(OR(A1697="",C1697=""),"",IF(AND(COUNTIF(Responses!$A$6:$A$205,A1697)=1,B1697&lt;&gt;"",COUNTIFS($A$6:$A$2005,A1697,$B$6:$B$2005,B1697)=1,OR(F1697="Supported",F1697="Unsupported",F1697="Contradicted"),OR(G1697="Supported",G1697="Wrong citation",G1697="Missing citation"),OR(H1697="Yes",H1697="No"),I1697&lt;&gt;"",OR(F1697&lt;&gt;"Supported",E1697&lt;&gt;""),OR(G1697&lt;&gt;"Supported",AND(F1697="Supported",D1697&lt;&gt;"",E1697&lt;&gt;""))),"Yes","No"))</f>
        <v/>
      </c>
    </row>
    <row r="1698" spans="11:11">
      <c r="K1698" s="11">
        <f>IF(OR(A1698="",C1698=""),"",IF(AND(COUNTIF(Responses!$A$6:$A$205,A1698)=1,B1698&lt;&gt;"",COUNTIFS($A$6:$A$2005,A1698,$B$6:$B$2005,B1698)=1,OR(F1698="Supported",F1698="Unsupported",F1698="Contradicted"),OR(G1698="Supported",G1698="Wrong citation",G1698="Missing citation"),OR(H1698="Yes",H1698="No"),I1698&lt;&gt;"",OR(F1698&lt;&gt;"Supported",E1698&lt;&gt;""),OR(G1698&lt;&gt;"Supported",AND(F1698="Supported",D1698&lt;&gt;"",E1698&lt;&gt;""))),"Yes","No"))</f>
        <v/>
      </c>
    </row>
    <row r="1699" spans="11:11">
      <c r="K1699" s="11">
        <f>IF(OR(A1699="",C1699=""),"",IF(AND(COUNTIF(Responses!$A$6:$A$205,A1699)=1,B1699&lt;&gt;"",COUNTIFS($A$6:$A$2005,A1699,$B$6:$B$2005,B1699)=1,OR(F1699="Supported",F1699="Unsupported",F1699="Contradicted"),OR(G1699="Supported",G1699="Wrong citation",G1699="Missing citation"),OR(H1699="Yes",H1699="No"),I1699&lt;&gt;"",OR(F1699&lt;&gt;"Supported",E1699&lt;&gt;""),OR(G1699&lt;&gt;"Supported",AND(F1699="Supported",D1699&lt;&gt;"",E1699&lt;&gt;""))),"Yes","No"))</f>
        <v/>
      </c>
    </row>
    <row r="1700" spans="11:11">
      <c r="K1700" s="11">
        <f>IF(OR(A1700="",C1700=""),"",IF(AND(COUNTIF(Responses!$A$6:$A$205,A1700)=1,B1700&lt;&gt;"",COUNTIFS($A$6:$A$2005,A1700,$B$6:$B$2005,B1700)=1,OR(F1700="Supported",F1700="Unsupported",F1700="Contradicted"),OR(G1700="Supported",G1700="Wrong citation",G1700="Missing citation"),OR(H1700="Yes",H1700="No"),I1700&lt;&gt;"",OR(F1700&lt;&gt;"Supported",E1700&lt;&gt;""),OR(G1700&lt;&gt;"Supported",AND(F1700="Supported",D1700&lt;&gt;"",E1700&lt;&gt;""))),"Yes","No"))</f>
        <v/>
      </c>
    </row>
    <row r="1701" spans="11:11">
      <c r="K1701" s="11">
        <f>IF(OR(A1701="",C1701=""),"",IF(AND(COUNTIF(Responses!$A$6:$A$205,A1701)=1,B1701&lt;&gt;"",COUNTIFS($A$6:$A$2005,A1701,$B$6:$B$2005,B1701)=1,OR(F1701="Supported",F1701="Unsupported",F1701="Contradicted"),OR(G1701="Supported",G1701="Wrong citation",G1701="Missing citation"),OR(H1701="Yes",H1701="No"),I1701&lt;&gt;"",OR(F1701&lt;&gt;"Supported",E1701&lt;&gt;""),OR(G1701&lt;&gt;"Supported",AND(F1701="Supported",D1701&lt;&gt;"",E1701&lt;&gt;""))),"Yes","No"))</f>
        <v/>
      </c>
    </row>
    <row r="1702" spans="11:11">
      <c r="K1702" s="11">
        <f>IF(OR(A1702="",C1702=""),"",IF(AND(COUNTIF(Responses!$A$6:$A$205,A1702)=1,B1702&lt;&gt;"",COUNTIFS($A$6:$A$2005,A1702,$B$6:$B$2005,B1702)=1,OR(F1702="Supported",F1702="Unsupported",F1702="Contradicted"),OR(G1702="Supported",G1702="Wrong citation",G1702="Missing citation"),OR(H1702="Yes",H1702="No"),I1702&lt;&gt;"",OR(F1702&lt;&gt;"Supported",E1702&lt;&gt;""),OR(G1702&lt;&gt;"Supported",AND(F1702="Supported",D1702&lt;&gt;"",E1702&lt;&gt;""))),"Yes","No"))</f>
        <v/>
      </c>
    </row>
    <row r="1703" spans="11:11">
      <c r="K1703" s="11">
        <f>IF(OR(A1703="",C1703=""),"",IF(AND(COUNTIF(Responses!$A$6:$A$205,A1703)=1,B1703&lt;&gt;"",COUNTIFS($A$6:$A$2005,A1703,$B$6:$B$2005,B1703)=1,OR(F1703="Supported",F1703="Unsupported",F1703="Contradicted"),OR(G1703="Supported",G1703="Wrong citation",G1703="Missing citation"),OR(H1703="Yes",H1703="No"),I1703&lt;&gt;"",OR(F1703&lt;&gt;"Supported",E1703&lt;&gt;""),OR(G1703&lt;&gt;"Supported",AND(F1703="Supported",D1703&lt;&gt;"",E1703&lt;&gt;""))),"Yes","No"))</f>
        <v/>
      </c>
    </row>
    <row r="1704" spans="11:11">
      <c r="K1704" s="11">
        <f>IF(OR(A1704="",C1704=""),"",IF(AND(COUNTIF(Responses!$A$6:$A$205,A1704)=1,B1704&lt;&gt;"",COUNTIFS($A$6:$A$2005,A1704,$B$6:$B$2005,B1704)=1,OR(F1704="Supported",F1704="Unsupported",F1704="Contradicted"),OR(G1704="Supported",G1704="Wrong citation",G1704="Missing citation"),OR(H1704="Yes",H1704="No"),I1704&lt;&gt;"",OR(F1704&lt;&gt;"Supported",E1704&lt;&gt;""),OR(G1704&lt;&gt;"Supported",AND(F1704="Supported",D1704&lt;&gt;"",E1704&lt;&gt;""))),"Yes","No"))</f>
        <v/>
      </c>
    </row>
    <row r="1705" spans="11:11">
      <c r="K1705" s="11">
        <f>IF(OR(A1705="",C1705=""),"",IF(AND(COUNTIF(Responses!$A$6:$A$205,A1705)=1,B1705&lt;&gt;"",COUNTIFS($A$6:$A$2005,A1705,$B$6:$B$2005,B1705)=1,OR(F1705="Supported",F1705="Unsupported",F1705="Contradicted"),OR(G1705="Supported",G1705="Wrong citation",G1705="Missing citation"),OR(H1705="Yes",H1705="No"),I1705&lt;&gt;"",OR(F1705&lt;&gt;"Supported",E1705&lt;&gt;""),OR(G1705&lt;&gt;"Supported",AND(F1705="Supported",D1705&lt;&gt;"",E1705&lt;&gt;""))),"Yes","No"))</f>
        <v/>
      </c>
    </row>
    <row r="1706" spans="11:11">
      <c r="K1706" s="11">
        <f>IF(OR(A1706="",C1706=""),"",IF(AND(COUNTIF(Responses!$A$6:$A$205,A1706)=1,B1706&lt;&gt;"",COUNTIFS($A$6:$A$2005,A1706,$B$6:$B$2005,B1706)=1,OR(F1706="Supported",F1706="Unsupported",F1706="Contradicted"),OR(G1706="Supported",G1706="Wrong citation",G1706="Missing citation"),OR(H1706="Yes",H1706="No"),I1706&lt;&gt;"",OR(F1706&lt;&gt;"Supported",E1706&lt;&gt;""),OR(G1706&lt;&gt;"Supported",AND(F1706="Supported",D1706&lt;&gt;"",E1706&lt;&gt;""))),"Yes","No"))</f>
        <v/>
      </c>
    </row>
    <row r="1707" spans="11:11">
      <c r="K1707" s="11">
        <f>IF(OR(A1707="",C1707=""),"",IF(AND(COUNTIF(Responses!$A$6:$A$205,A1707)=1,B1707&lt;&gt;"",COUNTIFS($A$6:$A$2005,A1707,$B$6:$B$2005,B1707)=1,OR(F1707="Supported",F1707="Unsupported",F1707="Contradicted"),OR(G1707="Supported",G1707="Wrong citation",G1707="Missing citation"),OR(H1707="Yes",H1707="No"),I1707&lt;&gt;"",OR(F1707&lt;&gt;"Supported",E1707&lt;&gt;""),OR(G1707&lt;&gt;"Supported",AND(F1707="Supported",D1707&lt;&gt;"",E1707&lt;&gt;""))),"Yes","No"))</f>
        <v/>
      </c>
    </row>
    <row r="1708" spans="11:11">
      <c r="K1708" s="11">
        <f>IF(OR(A1708="",C1708=""),"",IF(AND(COUNTIF(Responses!$A$6:$A$205,A1708)=1,B1708&lt;&gt;"",COUNTIFS($A$6:$A$2005,A1708,$B$6:$B$2005,B1708)=1,OR(F1708="Supported",F1708="Unsupported",F1708="Contradicted"),OR(G1708="Supported",G1708="Wrong citation",G1708="Missing citation"),OR(H1708="Yes",H1708="No"),I1708&lt;&gt;"",OR(F1708&lt;&gt;"Supported",E1708&lt;&gt;""),OR(G1708&lt;&gt;"Supported",AND(F1708="Supported",D1708&lt;&gt;"",E1708&lt;&gt;""))),"Yes","No"))</f>
        <v/>
      </c>
    </row>
    <row r="1709" spans="11:11">
      <c r="K1709" s="11">
        <f>IF(OR(A1709="",C1709=""),"",IF(AND(COUNTIF(Responses!$A$6:$A$205,A1709)=1,B1709&lt;&gt;"",COUNTIFS($A$6:$A$2005,A1709,$B$6:$B$2005,B1709)=1,OR(F1709="Supported",F1709="Unsupported",F1709="Contradicted"),OR(G1709="Supported",G1709="Wrong citation",G1709="Missing citation"),OR(H1709="Yes",H1709="No"),I1709&lt;&gt;"",OR(F1709&lt;&gt;"Supported",E1709&lt;&gt;""),OR(G1709&lt;&gt;"Supported",AND(F1709="Supported",D1709&lt;&gt;"",E1709&lt;&gt;""))),"Yes","No"))</f>
        <v/>
      </c>
    </row>
    <row r="1710" spans="11:11">
      <c r="K1710" s="11">
        <f>IF(OR(A1710="",C1710=""),"",IF(AND(COUNTIF(Responses!$A$6:$A$205,A1710)=1,B1710&lt;&gt;"",COUNTIFS($A$6:$A$2005,A1710,$B$6:$B$2005,B1710)=1,OR(F1710="Supported",F1710="Unsupported",F1710="Contradicted"),OR(G1710="Supported",G1710="Wrong citation",G1710="Missing citation"),OR(H1710="Yes",H1710="No"),I1710&lt;&gt;"",OR(F1710&lt;&gt;"Supported",E1710&lt;&gt;""),OR(G1710&lt;&gt;"Supported",AND(F1710="Supported",D1710&lt;&gt;"",E1710&lt;&gt;""))),"Yes","No"))</f>
        <v/>
      </c>
    </row>
    <row r="1711" spans="11:11">
      <c r="K1711" s="11">
        <f>IF(OR(A1711="",C1711=""),"",IF(AND(COUNTIF(Responses!$A$6:$A$205,A1711)=1,B1711&lt;&gt;"",COUNTIFS($A$6:$A$2005,A1711,$B$6:$B$2005,B1711)=1,OR(F1711="Supported",F1711="Unsupported",F1711="Contradicted"),OR(G1711="Supported",G1711="Wrong citation",G1711="Missing citation"),OR(H1711="Yes",H1711="No"),I1711&lt;&gt;"",OR(F1711&lt;&gt;"Supported",E1711&lt;&gt;""),OR(G1711&lt;&gt;"Supported",AND(F1711="Supported",D1711&lt;&gt;"",E1711&lt;&gt;""))),"Yes","No"))</f>
        <v/>
      </c>
    </row>
    <row r="1712" spans="11:11">
      <c r="K1712" s="11">
        <f>IF(OR(A1712="",C1712=""),"",IF(AND(COUNTIF(Responses!$A$6:$A$205,A1712)=1,B1712&lt;&gt;"",COUNTIFS($A$6:$A$2005,A1712,$B$6:$B$2005,B1712)=1,OR(F1712="Supported",F1712="Unsupported",F1712="Contradicted"),OR(G1712="Supported",G1712="Wrong citation",G1712="Missing citation"),OR(H1712="Yes",H1712="No"),I1712&lt;&gt;"",OR(F1712&lt;&gt;"Supported",E1712&lt;&gt;""),OR(G1712&lt;&gt;"Supported",AND(F1712="Supported",D1712&lt;&gt;"",E1712&lt;&gt;""))),"Yes","No"))</f>
        <v/>
      </c>
    </row>
    <row r="1713" spans="11:11">
      <c r="K1713" s="11">
        <f>IF(OR(A1713="",C1713=""),"",IF(AND(COUNTIF(Responses!$A$6:$A$205,A1713)=1,B1713&lt;&gt;"",COUNTIFS($A$6:$A$2005,A1713,$B$6:$B$2005,B1713)=1,OR(F1713="Supported",F1713="Unsupported",F1713="Contradicted"),OR(G1713="Supported",G1713="Wrong citation",G1713="Missing citation"),OR(H1713="Yes",H1713="No"),I1713&lt;&gt;"",OR(F1713&lt;&gt;"Supported",E1713&lt;&gt;""),OR(G1713&lt;&gt;"Supported",AND(F1713="Supported",D1713&lt;&gt;"",E1713&lt;&gt;""))),"Yes","No"))</f>
        <v/>
      </c>
    </row>
    <row r="1714" spans="11:11">
      <c r="K1714" s="11">
        <f>IF(OR(A1714="",C1714=""),"",IF(AND(COUNTIF(Responses!$A$6:$A$205,A1714)=1,B1714&lt;&gt;"",COUNTIFS($A$6:$A$2005,A1714,$B$6:$B$2005,B1714)=1,OR(F1714="Supported",F1714="Unsupported",F1714="Contradicted"),OR(G1714="Supported",G1714="Wrong citation",G1714="Missing citation"),OR(H1714="Yes",H1714="No"),I1714&lt;&gt;"",OR(F1714&lt;&gt;"Supported",E1714&lt;&gt;""),OR(G1714&lt;&gt;"Supported",AND(F1714="Supported",D1714&lt;&gt;"",E1714&lt;&gt;""))),"Yes","No"))</f>
        <v/>
      </c>
    </row>
    <row r="1715" spans="11:11">
      <c r="K1715" s="11">
        <f>IF(OR(A1715="",C1715=""),"",IF(AND(COUNTIF(Responses!$A$6:$A$205,A1715)=1,B1715&lt;&gt;"",COUNTIFS($A$6:$A$2005,A1715,$B$6:$B$2005,B1715)=1,OR(F1715="Supported",F1715="Unsupported",F1715="Contradicted"),OR(G1715="Supported",G1715="Wrong citation",G1715="Missing citation"),OR(H1715="Yes",H1715="No"),I1715&lt;&gt;"",OR(F1715&lt;&gt;"Supported",E1715&lt;&gt;""),OR(G1715&lt;&gt;"Supported",AND(F1715="Supported",D1715&lt;&gt;"",E1715&lt;&gt;""))),"Yes","No"))</f>
        <v/>
      </c>
    </row>
    <row r="1716" spans="11:11">
      <c r="K1716" s="11">
        <f>IF(OR(A1716="",C1716=""),"",IF(AND(COUNTIF(Responses!$A$6:$A$205,A1716)=1,B1716&lt;&gt;"",COUNTIFS($A$6:$A$2005,A1716,$B$6:$B$2005,B1716)=1,OR(F1716="Supported",F1716="Unsupported",F1716="Contradicted"),OR(G1716="Supported",G1716="Wrong citation",G1716="Missing citation"),OR(H1716="Yes",H1716="No"),I1716&lt;&gt;"",OR(F1716&lt;&gt;"Supported",E1716&lt;&gt;""),OR(G1716&lt;&gt;"Supported",AND(F1716="Supported",D1716&lt;&gt;"",E1716&lt;&gt;""))),"Yes","No"))</f>
        <v/>
      </c>
    </row>
    <row r="1717" spans="11:11">
      <c r="K1717" s="11">
        <f>IF(OR(A1717="",C1717=""),"",IF(AND(COUNTIF(Responses!$A$6:$A$205,A1717)=1,B1717&lt;&gt;"",COUNTIFS($A$6:$A$2005,A1717,$B$6:$B$2005,B1717)=1,OR(F1717="Supported",F1717="Unsupported",F1717="Contradicted"),OR(G1717="Supported",G1717="Wrong citation",G1717="Missing citation"),OR(H1717="Yes",H1717="No"),I1717&lt;&gt;"",OR(F1717&lt;&gt;"Supported",E1717&lt;&gt;""),OR(G1717&lt;&gt;"Supported",AND(F1717="Supported",D1717&lt;&gt;"",E1717&lt;&gt;""))),"Yes","No"))</f>
        <v/>
      </c>
    </row>
    <row r="1718" spans="11:11">
      <c r="K1718" s="11">
        <f>IF(OR(A1718="",C1718=""),"",IF(AND(COUNTIF(Responses!$A$6:$A$205,A1718)=1,B1718&lt;&gt;"",COUNTIFS($A$6:$A$2005,A1718,$B$6:$B$2005,B1718)=1,OR(F1718="Supported",F1718="Unsupported",F1718="Contradicted"),OR(G1718="Supported",G1718="Wrong citation",G1718="Missing citation"),OR(H1718="Yes",H1718="No"),I1718&lt;&gt;"",OR(F1718&lt;&gt;"Supported",E1718&lt;&gt;""),OR(G1718&lt;&gt;"Supported",AND(F1718="Supported",D1718&lt;&gt;"",E1718&lt;&gt;""))),"Yes","No"))</f>
        <v/>
      </c>
    </row>
    <row r="1719" spans="11:11">
      <c r="K1719" s="11">
        <f>IF(OR(A1719="",C1719=""),"",IF(AND(COUNTIF(Responses!$A$6:$A$205,A1719)=1,B1719&lt;&gt;"",COUNTIFS($A$6:$A$2005,A1719,$B$6:$B$2005,B1719)=1,OR(F1719="Supported",F1719="Unsupported",F1719="Contradicted"),OR(G1719="Supported",G1719="Wrong citation",G1719="Missing citation"),OR(H1719="Yes",H1719="No"),I1719&lt;&gt;"",OR(F1719&lt;&gt;"Supported",E1719&lt;&gt;""),OR(G1719&lt;&gt;"Supported",AND(F1719="Supported",D1719&lt;&gt;"",E1719&lt;&gt;""))),"Yes","No"))</f>
        <v/>
      </c>
    </row>
    <row r="1720" spans="11:11">
      <c r="K1720" s="11">
        <f>IF(OR(A1720="",C1720=""),"",IF(AND(COUNTIF(Responses!$A$6:$A$205,A1720)=1,B1720&lt;&gt;"",COUNTIFS($A$6:$A$2005,A1720,$B$6:$B$2005,B1720)=1,OR(F1720="Supported",F1720="Unsupported",F1720="Contradicted"),OR(G1720="Supported",G1720="Wrong citation",G1720="Missing citation"),OR(H1720="Yes",H1720="No"),I1720&lt;&gt;"",OR(F1720&lt;&gt;"Supported",E1720&lt;&gt;""),OR(G1720&lt;&gt;"Supported",AND(F1720="Supported",D1720&lt;&gt;"",E1720&lt;&gt;""))),"Yes","No"))</f>
        <v/>
      </c>
    </row>
    <row r="1721" spans="11:11">
      <c r="K1721" s="11">
        <f>IF(OR(A1721="",C1721=""),"",IF(AND(COUNTIF(Responses!$A$6:$A$205,A1721)=1,B1721&lt;&gt;"",COUNTIFS($A$6:$A$2005,A1721,$B$6:$B$2005,B1721)=1,OR(F1721="Supported",F1721="Unsupported",F1721="Contradicted"),OR(G1721="Supported",G1721="Wrong citation",G1721="Missing citation"),OR(H1721="Yes",H1721="No"),I1721&lt;&gt;"",OR(F1721&lt;&gt;"Supported",E1721&lt;&gt;""),OR(G1721&lt;&gt;"Supported",AND(F1721="Supported",D1721&lt;&gt;"",E1721&lt;&gt;""))),"Yes","No"))</f>
        <v/>
      </c>
    </row>
    <row r="1722" spans="11:11">
      <c r="K1722" s="11">
        <f>IF(OR(A1722="",C1722=""),"",IF(AND(COUNTIF(Responses!$A$6:$A$205,A1722)=1,B1722&lt;&gt;"",COUNTIFS($A$6:$A$2005,A1722,$B$6:$B$2005,B1722)=1,OR(F1722="Supported",F1722="Unsupported",F1722="Contradicted"),OR(G1722="Supported",G1722="Wrong citation",G1722="Missing citation"),OR(H1722="Yes",H1722="No"),I1722&lt;&gt;"",OR(F1722&lt;&gt;"Supported",E1722&lt;&gt;""),OR(G1722&lt;&gt;"Supported",AND(F1722="Supported",D1722&lt;&gt;"",E1722&lt;&gt;""))),"Yes","No"))</f>
        <v/>
      </c>
    </row>
    <row r="1723" spans="11:11">
      <c r="K1723" s="11">
        <f>IF(OR(A1723="",C1723=""),"",IF(AND(COUNTIF(Responses!$A$6:$A$205,A1723)=1,B1723&lt;&gt;"",COUNTIFS($A$6:$A$2005,A1723,$B$6:$B$2005,B1723)=1,OR(F1723="Supported",F1723="Unsupported",F1723="Contradicted"),OR(G1723="Supported",G1723="Wrong citation",G1723="Missing citation"),OR(H1723="Yes",H1723="No"),I1723&lt;&gt;"",OR(F1723&lt;&gt;"Supported",E1723&lt;&gt;""),OR(G1723&lt;&gt;"Supported",AND(F1723="Supported",D1723&lt;&gt;"",E1723&lt;&gt;""))),"Yes","No"))</f>
        <v/>
      </c>
    </row>
    <row r="1724" spans="11:11">
      <c r="K1724" s="11">
        <f>IF(OR(A1724="",C1724=""),"",IF(AND(COUNTIF(Responses!$A$6:$A$205,A1724)=1,B1724&lt;&gt;"",COUNTIFS($A$6:$A$2005,A1724,$B$6:$B$2005,B1724)=1,OR(F1724="Supported",F1724="Unsupported",F1724="Contradicted"),OR(G1724="Supported",G1724="Wrong citation",G1724="Missing citation"),OR(H1724="Yes",H1724="No"),I1724&lt;&gt;"",OR(F1724&lt;&gt;"Supported",E1724&lt;&gt;""),OR(G1724&lt;&gt;"Supported",AND(F1724="Supported",D1724&lt;&gt;"",E1724&lt;&gt;""))),"Yes","No"))</f>
        <v/>
      </c>
    </row>
    <row r="1725" spans="11:11">
      <c r="K1725" s="11">
        <f>IF(OR(A1725="",C1725=""),"",IF(AND(COUNTIF(Responses!$A$6:$A$205,A1725)=1,B1725&lt;&gt;"",COUNTIFS($A$6:$A$2005,A1725,$B$6:$B$2005,B1725)=1,OR(F1725="Supported",F1725="Unsupported",F1725="Contradicted"),OR(G1725="Supported",G1725="Wrong citation",G1725="Missing citation"),OR(H1725="Yes",H1725="No"),I1725&lt;&gt;"",OR(F1725&lt;&gt;"Supported",E1725&lt;&gt;""),OR(G1725&lt;&gt;"Supported",AND(F1725="Supported",D1725&lt;&gt;"",E1725&lt;&gt;""))),"Yes","No"))</f>
        <v/>
      </c>
    </row>
    <row r="1726" spans="11:11">
      <c r="K1726" s="11">
        <f>IF(OR(A1726="",C1726=""),"",IF(AND(COUNTIF(Responses!$A$6:$A$205,A1726)=1,B1726&lt;&gt;"",COUNTIFS($A$6:$A$2005,A1726,$B$6:$B$2005,B1726)=1,OR(F1726="Supported",F1726="Unsupported",F1726="Contradicted"),OR(G1726="Supported",G1726="Wrong citation",G1726="Missing citation"),OR(H1726="Yes",H1726="No"),I1726&lt;&gt;"",OR(F1726&lt;&gt;"Supported",E1726&lt;&gt;""),OR(G1726&lt;&gt;"Supported",AND(F1726="Supported",D1726&lt;&gt;"",E1726&lt;&gt;""))),"Yes","No"))</f>
        <v/>
      </c>
    </row>
    <row r="1727" spans="11:11">
      <c r="K1727" s="11">
        <f>IF(OR(A1727="",C1727=""),"",IF(AND(COUNTIF(Responses!$A$6:$A$205,A1727)=1,B1727&lt;&gt;"",COUNTIFS($A$6:$A$2005,A1727,$B$6:$B$2005,B1727)=1,OR(F1727="Supported",F1727="Unsupported",F1727="Contradicted"),OR(G1727="Supported",G1727="Wrong citation",G1727="Missing citation"),OR(H1727="Yes",H1727="No"),I1727&lt;&gt;"",OR(F1727&lt;&gt;"Supported",E1727&lt;&gt;""),OR(G1727&lt;&gt;"Supported",AND(F1727="Supported",D1727&lt;&gt;"",E1727&lt;&gt;""))),"Yes","No"))</f>
        <v/>
      </c>
    </row>
    <row r="1728" spans="11:11">
      <c r="K1728" s="11">
        <f>IF(OR(A1728="",C1728=""),"",IF(AND(COUNTIF(Responses!$A$6:$A$205,A1728)=1,B1728&lt;&gt;"",COUNTIFS($A$6:$A$2005,A1728,$B$6:$B$2005,B1728)=1,OR(F1728="Supported",F1728="Unsupported",F1728="Contradicted"),OR(G1728="Supported",G1728="Wrong citation",G1728="Missing citation"),OR(H1728="Yes",H1728="No"),I1728&lt;&gt;"",OR(F1728&lt;&gt;"Supported",E1728&lt;&gt;""),OR(G1728&lt;&gt;"Supported",AND(F1728="Supported",D1728&lt;&gt;"",E1728&lt;&gt;""))),"Yes","No"))</f>
        <v/>
      </c>
    </row>
    <row r="1729" spans="11:11">
      <c r="K1729" s="11">
        <f>IF(OR(A1729="",C1729=""),"",IF(AND(COUNTIF(Responses!$A$6:$A$205,A1729)=1,B1729&lt;&gt;"",COUNTIFS($A$6:$A$2005,A1729,$B$6:$B$2005,B1729)=1,OR(F1729="Supported",F1729="Unsupported",F1729="Contradicted"),OR(G1729="Supported",G1729="Wrong citation",G1729="Missing citation"),OR(H1729="Yes",H1729="No"),I1729&lt;&gt;"",OR(F1729&lt;&gt;"Supported",E1729&lt;&gt;""),OR(G1729&lt;&gt;"Supported",AND(F1729="Supported",D1729&lt;&gt;"",E1729&lt;&gt;""))),"Yes","No"))</f>
        <v/>
      </c>
    </row>
    <row r="1730" spans="11:11">
      <c r="K1730" s="11">
        <f>IF(OR(A1730="",C1730=""),"",IF(AND(COUNTIF(Responses!$A$6:$A$205,A1730)=1,B1730&lt;&gt;"",COUNTIFS($A$6:$A$2005,A1730,$B$6:$B$2005,B1730)=1,OR(F1730="Supported",F1730="Unsupported",F1730="Contradicted"),OR(G1730="Supported",G1730="Wrong citation",G1730="Missing citation"),OR(H1730="Yes",H1730="No"),I1730&lt;&gt;"",OR(F1730&lt;&gt;"Supported",E1730&lt;&gt;""),OR(G1730&lt;&gt;"Supported",AND(F1730="Supported",D1730&lt;&gt;"",E1730&lt;&gt;""))),"Yes","No"))</f>
        <v/>
      </c>
    </row>
    <row r="1731" spans="11:11">
      <c r="K1731" s="11">
        <f>IF(OR(A1731="",C1731=""),"",IF(AND(COUNTIF(Responses!$A$6:$A$205,A1731)=1,B1731&lt;&gt;"",COUNTIFS($A$6:$A$2005,A1731,$B$6:$B$2005,B1731)=1,OR(F1731="Supported",F1731="Unsupported",F1731="Contradicted"),OR(G1731="Supported",G1731="Wrong citation",G1731="Missing citation"),OR(H1731="Yes",H1731="No"),I1731&lt;&gt;"",OR(F1731&lt;&gt;"Supported",E1731&lt;&gt;""),OR(G1731&lt;&gt;"Supported",AND(F1731="Supported",D1731&lt;&gt;"",E1731&lt;&gt;""))),"Yes","No"))</f>
        <v/>
      </c>
    </row>
    <row r="1732" spans="11:11">
      <c r="K1732" s="11">
        <f>IF(OR(A1732="",C1732=""),"",IF(AND(COUNTIF(Responses!$A$6:$A$205,A1732)=1,B1732&lt;&gt;"",COUNTIFS($A$6:$A$2005,A1732,$B$6:$B$2005,B1732)=1,OR(F1732="Supported",F1732="Unsupported",F1732="Contradicted"),OR(G1732="Supported",G1732="Wrong citation",G1732="Missing citation"),OR(H1732="Yes",H1732="No"),I1732&lt;&gt;"",OR(F1732&lt;&gt;"Supported",E1732&lt;&gt;""),OR(G1732&lt;&gt;"Supported",AND(F1732="Supported",D1732&lt;&gt;"",E1732&lt;&gt;""))),"Yes","No"))</f>
        <v/>
      </c>
    </row>
    <row r="1733" spans="11:11">
      <c r="K1733" s="11">
        <f>IF(OR(A1733="",C1733=""),"",IF(AND(COUNTIF(Responses!$A$6:$A$205,A1733)=1,B1733&lt;&gt;"",COUNTIFS($A$6:$A$2005,A1733,$B$6:$B$2005,B1733)=1,OR(F1733="Supported",F1733="Unsupported",F1733="Contradicted"),OR(G1733="Supported",G1733="Wrong citation",G1733="Missing citation"),OR(H1733="Yes",H1733="No"),I1733&lt;&gt;"",OR(F1733&lt;&gt;"Supported",E1733&lt;&gt;""),OR(G1733&lt;&gt;"Supported",AND(F1733="Supported",D1733&lt;&gt;"",E1733&lt;&gt;""))),"Yes","No"))</f>
        <v/>
      </c>
    </row>
    <row r="1734" spans="11:11">
      <c r="K1734" s="11">
        <f>IF(OR(A1734="",C1734=""),"",IF(AND(COUNTIF(Responses!$A$6:$A$205,A1734)=1,B1734&lt;&gt;"",COUNTIFS($A$6:$A$2005,A1734,$B$6:$B$2005,B1734)=1,OR(F1734="Supported",F1734="Unsupported",F1734="Contradicted"),OR(G1734="Supported",G1734="Wrong citation",G1734="Missing citation"),OR(H1734="Yes",H1734="No"),I1734&lt;&gt;"",OR(F1734&lt;&gt;"Supported",E1734&lt;&gt;""),OR(G1734&lt;&gt;"Supported",AND(F1734="Supported",D1734&lt;&gt;"",E1734&lt;&gt;""))),"Yes","No"))</f>
        <v/>
      </c>
    </row>
    <row r="1735" spans="11:11">
      <c r="K1735" s="11">
        <f>IF(OR(A1735="",C1735=""),"",IF(AND(COUNTIF(Responses!$A$6:$A$205,A1735)=1,B1735&lt;&gt;"",COUNTIFS($A$6:$A$2005,A1735,$B$6:$B$2005,B1735)=1,OR(F1735="Supported",F1735="Unsupported",F1735="Contradicted"),OR(G1735="Supported",G1735="Wrong citation",G1735="Missing citation"),OR(H1735="Yes",H1735="No"),I1735&lt;&gt;"",OR(F1735&lt;&gt;"Supported",E1735&lt;&gt;""),OR(G1735&lt;&gt;"Supported",AND(F1735="Supported",D1735&lt;&gt;"",E1735&lt;&gt;""))),"Yes","No"))</f>
        <v/>
      </c>
    </row>
    <row r="1736" spans="11:11">
      <c r="K1736" s="11">
        <f>IF(OR(A1736="",C1736=""),"",IF(AND(COUNTIF(Responses!$A$6:$A$205,A1736)=1,B1736&lt;&gt;"",COUNTIFS($A$6:$A$2005,A1736,$B$6:$B$2005,B1736)=1,OR(F1736="Supported",F1736="Unsupported",F1736="Contradicted"),OR(G1736="Supported",G1736="Wrong citation",G1736="Missing citation"),OR(H1736="Yes",H1736="No"),I1736&lt;&gt;"",OR(F1736&lt;&gt;"Supported",E1736&lt;&gt;""),OR(G1736&lt;&gt;"Supported",AND(F1736="Supported",D1736&lt;&gt;"",E1736&lt;&gt;""))),"Yes","No"))</f>
        <v/>
      </c>
    </row>
    <row r="1737" spans="11:11">
      <c r="K1737" s="11">
        <f>IF(OR(A1737="",C1737=""),"",IF(AND(COUNTIF(Responses!$A$6:$A$205,A1737)=1,B1737&lt;&gt;"",COUNTIFS($A$6:$A$2005,A1737,$B$6:$B$2005,B1737)=1,OR(F1737="Supported",F1737="Unsupported",F1737="Contradicted"),OR(G1737="Supported",G1737="Wrong citation",G1737="Missing citation"),OR(H1737="Yes",H1737="No"),I1737&lt;&gt;"",OR(F1737&lt;&gt;"Supported",E1737&lt;&gt;""),OR(G1737&lt;&gt;"Supported",AND(F1737="Supported",D1737&lt;&gt;"",E1737&lt;&gt;""))),"Yes","No"))</f>
        <v/>
      </c>
    </row>
    <row r="1738" spans="11:11">
      <c r="K1738" s="11">
        <f>IF(OR(A1738="",C1738=""),"",IF(AND(COUNTIF(Responses!$A$6:$A$205,A1738)=1,B1738&lt;&gt;"",COUNTIFS($A$6:$A$2005,A1738,$B$6:$B$2005,B1738)=1,OR(F1738="Supported",F1738="Unsupported",F1738="Contradicted"),OR(G1738="Supported",G1738="Wrong citation",G1738="Missing citation"),OR(H1738="Yes",H1738="No"),I1738&lt;&gt;"",OR(F1738&lt;&gt;"Supported",E1738&lt;&gt;""),OR(G1738&lt;&gt;"Supported",AND(F1738="Supported",D1738&lt;&gt;"",E1738&lt;&gt;""))),"Yes","No"))</f>
        <v/>
      </c>
    </row>
    <row r="1739" spans="11:11">
      <c r="K1739" s="11">
        <f>IF(OR(A1739="",C1739=""),"",IF(AND(COUNTIF(Responses!$A$6:$A$205,A1739)=1,B1739&lt;&gt;"",COUNTIFS($A$6:$A$2005,A1739,$B$6:$B$2005,B1739)=1,OR(F1739="Supported",F1739="Unsupported",F1739="Contradicted"),OR(G1739="Supported",G1739="Wrong citation",G1739="Missing citation"),OR(H1739="Yes",H1739="No"),I1739&lt;&gt;"",OR(F1739&lt;&gt;"Supported",E1739&lt;&gt;""),OR(G1739&lt;&gt;"Supported",AND(F1739="Supported",D1739&lt;&gt;"",E1739&lt;&gt;""))),"Yes","No"))</f>
        <v/>
      </c>
    </row>
    <row r="1740" spans="11:11">
      <c r="K1740" s="11">
        <f>IF(OR(A1740="",C1740=""),"",IF(AND(COUNTIF(Responses!$A$6:$A$205,A1740)=1,B1740&lt;&gt;"",COUNTIFS($A$6:$A$2005,A1740,$B$6:$B$2005,B1740)=1,OR(F1740="Supported",F1740="Unsupported",F1740="Contradicted"),OR(G1740="Supported",G1740="Wrong citation",G1740="Missing citation"),OR(H1740="Yes",H1740="No"),I1740&lt;&gt;"",OR(F1740&lt;&gt;"Supported",E1740&lt;&gt;""),OR(G1740&lt;&gt;"Supported",AND(F1740="Supported",D1740&lt;&gt;"",E1740&lt;&gt;""))),"Yes","No"))</f>
        <v/>
      </c>
    </row>
    <row r="1741" spans="11:11">
      <c r="K1741" s="11">
        <f>IF(OR(A1741="",C1741=""),"",IF(AND(COUNTIF(Responses!$A$6:$A$205,A1741)=1,B1741&lt;&gt;"",COUNTIFS($A$6:$A$2005,A1741,$B$6:$B$2005,B1741)=1,OR(F1741="Supported",F1741="Unsupported",F1741="Contradicted"),OR(G1741="Supported",G1741="Wrong citation",G1741="Missing citation"),OR(H1741="Yes",H1741="No"),I1741&lt;&gt;"",OR(F1741&lt;&gt;"Supported",E1741&lt;&gt;""),OR(G1741&lt;&gt;"Supported",AND(F1741="Supported",D1741&lt;&gt;"",E1741&lt;&gt;""))),"Yes","No"))</f>
        <v/>
      </c>
    </row>
    <row r="1742" spans="11:11">
      <c r="K1742" s="11">
        <f>IF(OR(A1742="",C1742=""),"",IF(AND(COUNTIF(Responses!$A$6:$A$205,A1742)=1,B1742&lt;&gt;"",COUNTIFS($A$6:$A$2005,A1742,$B$6:$B$2005,B1742)=1,OR(F1742="Supported",F1742="Unsupported",F1742="Contradicted"),OR(G1742="Supported",G1742="Wrong citation",G1742="Missing citation"),OR(H1742="Yes",H1742="No"),I1742&lt;&gt;"",OR(F1742&lt;&gt;"Supported",E1742&lt;&gt;""),OR(G1742&lt;&gt;"Supported",AND(F1742="Supported",D1742&lt;&gt;"",E1742&lt;&gt;""))),"Yes","No"))</f>
        <v/>
      </c>
    </row>
    <row r="1743" spans="11:11">
      <c r="K1743" s="11">
        <f>IF(OR(A1743="",C1743=""),"",IF(AND(COUNTIF(Responses!$A$6:$A$205,A1743)=1,B1743&lt;&gt;"",COUNTIFS($A$6:$A$2005,A1743,$B$6:$B$2005,B1743)=1,OR(F1743="Supported",F1743="Unsupported",F1743="Contradicted"),OR(G1743="Supported",G1743="Wrong citation",G1743="Missing citation"),OR(H1743="Yes",H1743="No"),I1743&lt;&gt;"",OR(F1743&lt;&gt;"Supported",E1743&lt;&gt;""),OR(G1743&lt;&gt;"Supported",AND(F1743="Supported",D1743&lt;&gt;"",E1743&lt;&gt;""))),"Yes","No"))</f>
        <v/>
      </c>
    </row>
    <row r="1744" spans="11:11">
      <c r="K1744" s="11">
        <f>IF(OR(A1744="",C1744=""),"",IF(AND(COUNTIF(Responses!$A$6:$A$205,A1744)=1,B1744&lt;&gt;"",COUNTIFS($A$6:$A$2005,A1744,$B$6:$B$2005,B1744)=1,OR(F1744="Supported",F1744="Unsupported",F1744="Contradicted"),OR(G1744="Supported",G1744="Wrong citation",G1744="Missing citation"),OR(H1744="Yes",H1744="No"),I1744&lt;&gt;"",OR(F1744&lt;&gt;"Supported",E1744&lt;&gt;""),OR(G1744&lt;&gt;"Supported",AND(F1744="Supported",D1744&lt;&gt;"",E1744&lt;&gt;""))),"Yes","No"))</f>
        <v/>
      </c>
    </row>
    <row r="1745" spans="11:11">
      <c r="K1745" s="11">
        <f>IF(OR(A1745="",C1745=""),"",IF(AND(COUNTIF(Responses!$A$6:$A$205,A1745)=1,B1745&lt;&gt;"",COUNTIFS($A$6:$A$2005,A1745,$B$6:$B$2005,B1745)=1,OR(F1745="Supported",F1745="Unsupported",F1745="Contradicted"),OR(G1745="Supported",G1745="Wrong citation",G1745="Missing citation"),OR(H1745="Yes",H1745="No"),I1745&lt;&gt;"",OR(F1745&lt;&gt;"Supported",E1745&lt;&gt;""),OR(G1745&lt;&gt;"Supported",AND(F1745="Supported",D1745&lt;&gt;"",E1745&lt;&gt;""))),"Yes","No"))</f>
        <v/>
      </c>
    </row>
    <row r="1746" spans="11:11">
      <c r="K1746" s="11">
        <f>IF(OR(A1746="",C1746=""),"",IF(AND(COUNTIF(Responses!$A$6:$A$205,A1746)=1,B1746&lt;&gt;"",COUNTIFS($A$6:$A$2005,A1746,$B$6:$B$2005,B1746)=1,OR(F1746="Supported",F1746="Unsupported",F1746="Contradicted"),OR(G1746="Supported",G1746="Wrong citation",G1746="Missing citation"),OR(H1746="Yes",H1746="No"),I1746&lt;&gt;"",OR(F1746&lt;&gt;"Supported",E1746&lt;&gt;""),OR(G1746&lt;&gt;"Supported",AND(F1746="Supported",D1746&lt;&gt;"",E1746&lt;&gt;""))),"Yes","No"))</f>
        <v/>
      </c>
    </row>
    <row r="1747" spans="11:11">
      <c r="K1747" s="11">
        <f>IF(OR(A1747="",C1747=""),"",IF(AND(COUNTIF(Responses!$A$6:$A$205,A1747)=1,B1747&lt;&gt;"",COUNTIFS($A$6:$A$2005,A1747,$B$6:$B$2005,B1747)=1,OR(F1747="Supported",F1747="Unsupported",F1747="Contradicted"),OR(G1747="Supported",G1747="Wrong citation",G1747="Missing citation"),OR(H1747="Yes",H1747="No"),I1747&lt;&gt;"",OR(F1747&lt;&gt;"Supported",E1747&lt;&gt;""),OR(G1747&lt;&gt;"Supported",AND(F1747="Supported",D1747&lt;&gt;"",E1747&lt;&gt;""))),"Yes","No"))</f>
        <v/>
      </c>
    </row>
    <row r="1748" spans="11:11">
      <c r="K1748" s="11">
        <f>IF(OR(A1748="",C1748=""),"",IF(AND(COUNTIF(Responses!$A$6:$A$205,A1748)=1,B1748&lt;&gt;"",COUNTIFS($A$6:$A$2005,A1748,$B$6:$B$2005,B1748)=1,OR(F1748="Supported",F1748="Unsupported",F1748="Contradicted"),OR(G1748="Supported",G1748="Wrong citation",G1748="Missing citation"),OR(H1748="Yes",H1748="No"),I1748&lt;&gt;"",OR(F1748&lt;&gt;"Supported",E1748&lt;&gt;""),OR(G1748&lt;&gt;"Supported",AND(F1748="Supported",D1748&lt;&gt;"",E1748&lt;&gt;""))),"Yes","No"))</f>
        <v/>
      </c>
    </row>
    <row r="1749" spans="11:11">
      <c r="K1749" s="11">
        <f>IF(OR(A1749="",C1749=""),"",IF(AND(COUNTIF(Responses!$A$6:$A$205,A1749)=1,B1749&lt;&gt;"",COUNTIFS($A$6:$A$2005,A1749,$B$6:$B$2005,B1749)=1,OR(F1749="Supported",F1749="Unsupported",F1749="Contradicted"),OR(G1749="Supported",G1749="Wrong citation",G1749="Missing citation"),OR(H1749="Yes",H1749="No"),I1749&lt;&gt;"",OR(F1749&lt;&gt;"Supported",E1749&lt;&gt;""),OR(G1749&lt;&gt;"Supported",AND(F1749="Supported",D1749&lt;&gt;"",E1749&lt;&gt;""))),"Yes","No"))</f>
        <v/>
      </c>
    </row>
    <row r="1750" spans="11:11">
      <c r="K1750" s="11">
        <f>IF(OR(A1750="",C1750=""),"",IF(AND(COUNTIF(Responses!$A$6:$A$205,A1750)=1,B1750&lt;&gt;"",COUNTIFS($A$6:$A$2005,A1750,$B$6:$B$2005,B1750)=1,OR(F1750="Supported",F1750="Unsupported",F1750="Contradicted"),OR(G1750="Supported",G1750="Wrong citation",G1750="Missing citation"),OR(H1750="Yes",H1750="No"),I1750&lt;&gt;"",OR(F1750&lt;&gt;"Supported",E1750&lt;&gt;""),OR(G1750&lt;&gt;"Supported",AND(F1750="Supported",D1750&lt;&gt;"",E1750&lt;&gt;""))),"Yes","No"))</f>
        <v/>
      </c>
    </row>
    <row r="1751" spans="11:11">
      <c r="K1751" s="11">
        <f>IF(OR(A1751="",C1751=""),"",IF(AND(COUNTIF(Responses!$A$6:$A$205,A1751)=1,B1751&lt;&gt;"",COUNTIFS($A$6:$A$2005,A1751,$B$6:$B$2005,B1751)=1,OR(F1751="Supported",F1751="Unsupported",F1751="Contradicted"),OR(G1751="Supported",G1751="Wrong citation",G1751="Missing citation"),OR(H1751="Yes",H1751="No"),I1751&lt;&gt;"",OR(F1751&lt;&gt;"Supported",E1751&lt;&gt;""),OR(G1751&lt;&gt;"Supported",AND(F1751="Supported",D1751&lt;&gt;"",E1751&lt;&gt;""))),"Yes","No"))</f>
        <v/>
      </c>
    </row>
    <row r="1752" spans="11:11">
      <c r="K1752" s="11">
        <f>IF(OR(A1752="",C1752=""),"",IF(AND(COUNTIF(Responses!$A$6:$A$205,A1752)=1,B1752&lt;&gt;"",COUNTIFS($A$6:$A$2005,A1752,$B$6:$B$2005,B1752)=1,OR(F1752="Supported",F1752="Unsupported",F1752="Contradicted"),OR(G1752="Supported",G1752="Wrong citation",G1752="Missing citation"),OR(H1752="Yes",H1752="No"),I1752&lt;&gt;"",OR(F1752&lt;&gt;"Supported",E1752&lt;&gt;""),OR(G1752&lt;&gt;"Supported",AND(F1752="Supported",D1752&lt;&gt;"",E1752&lt;&gt;""))),"Yes","No"))</f>
        <v/>
      </c>
    </row>
    <row r="1753" spans="11:11">
      <c r="K1753" s="11">
        <f>IF(OR(A1753="",C1753=""),"",IF(AND(COUNTIF(Responses!$A$6:$A$205,A1753)=1,B1753&lt;&gt;"",COUNTIFS($A$6:$A$2005,A1753,$B$6:$B$2005,B1753)=1,OR(F1753="Supported",F1753="Unsupported",F1753="Contradicted"),OR(G1753="Supported",G1753="Wrong citation",G1753="Missing citation"),OR(H1753="Yes",H1753="No"),I1753&lt;&gt;"",OR(F1753&lt;&gt;"Supported",E1753&lt;&gt;""),OR(G1753&lt;&gt;"Supported",AND(F1753="Supported",D1753&lt;&gt;"",E1753&lt;&gt;""))),"Yes","No"))</f>
        <v/>
      </c>
    </row>
    <row r="1754" spans="11:11">
      <c r="K1754" s="11">
        <f>IF(OR(A1754="",C1754=""),"",IF(AND(COUNTIF(Responses!$A$6:$A$205,A1754)=1,B1754&lt;&gt;"",COUNTIFS($A$6:$A$2005,A1754,$B$6:$B$2005,B1754)=1,OR(F1754="Supported",F1754="Unsupported",F1754="Contradicted"),OR(G1754="Supported",G1754="Wrong citation",G1754="Missing citation"),OR(H1754="Yes",H1754="No"),I1754&lt;&gt;"",OR(F1754&lt;&gt;"Supported",E1754&lt;&gt;""),OR(G1754&lt;&gt;"Supported",AND(F1754="Supported",D1754&lt;&gt;"",E1754&lt;&gt;""))),"Yes","No"))</f>
        <v/>
      </c>
    </row>
    <row r="1755" spans="11:11">
      <c r="K1755" s="11">
        <f>IF(OR(A1755="",C1755=""),"",IF(AND(COUNTIF(Responses!$A$6:$A$205,A1755)=1,B1755&lt;&gt;"",COUNTIFS($A$6:$A$2005,A1755,$B$6:$B$2005,B1755)=1,OR(F1755="Supported",F1755="Unsupported",F1755="Contradicted"),OR(G1755="Supported",G1755="Wrong citation",G1755="Missing citation"),OR(H1755="Yes",H1755="No"),I1755&lt;&gt;"",OR(F1755&lt;&gt;"Supported",E1755&lt;&gt;""),OR(G1755&lt;&gt;"Supported",AND(F1755="Supported",D1755&lt;&gt;"",E1755&lt;&gt;""))),"Yes","No"))</f>
        <v/>
      </c>
    </row>
    <row r="1756" spans="11:11">
      <c r="K1756" s="11">
        <f>IF(OR(A1756="",C1756=""),"",IF(AND(COUNTIF(Responses!$A$6:$A$205,A1756)=1,B1756&lt;&gt;"",COUNTIFS($A$6:$A$2005,A1756,$B$6:$B$2005,B1756)=1,OR(F1756="Supported",F1756="Unsupported",F1756="Contradicted"),OR(G1756="Supported",G1756="Wrong citation",G1756="Missing citation"),OR(H1756="Yes",H1756="No"),I1756&lt;&gt;"",OR(F1756&lt;&gt;"Supported",E1756&lt;&gt;""),OR(G1756&lt;&gt;"Supported",AND(F1756="Supported",D1756&lt;&gt;"",E1756&lt;&gt;""))),"Yes","No"))</f>
        <v/>
      </c>
    </row>
    <row r="1757" spans="11:11">
      <c r="K1757" s="11">
        <f>IF(OR(A1757="",C1757=""),"",IF(AND(COUNTIF(Responses!$A$6:$A$205,A1757)=1,B1757&lt;&gt;"",COUNTIFS($A$6:$A$2005,A1757,$B$6:$B$2005,B1757)=1,OR(F1757="Supported",F1757="Unsupported",F1757="Contradicted"),OR(G1757="Supported",G1757="Wrong citation",G1757="Missing citation"),OR(H1757="Yes",H1757="No"),I1757&lt;&gt;"",OR(F1757&lt;&gt;"Supported",E1757&lt;&gt;""),OR(G1757&lt;&gt;"Supported",AND(F1757="Supported",D1757&lt;&gt;"",E1757&lt;&gt;""))),"Yes","No"))</f>
        <v/>
      </c>
    </row>
    <row r="1758" spans="11:11">
      <c r="K1758" s="11">
        <f>IF(OR(A1758="",C1758=""),"",IF(AND(COUNTIF(Responses!$A$6:$A$205,A1758)=1,B1758&lt;&gt;"",COUNTIFS($A$6:$A$2005,A1758,$B$6:$B$2005,B1758)=1,OR(F1758="Supported",F1758="Unsupported",F1758="Contradicted"),OR(G1758="Supported",G1758="Wrong citation",G1758="Missing citation"),OR(H1758="Yes",H1758="No"),I1758&lt;&gt;"",OR(F1758&lt;&gt;"Supported",E1758&lt;&gt;""),OR(G1758&lt;&gt;"Supported",AND(F1758="Supported",D1758&lt;&gt;"",E1758&lt;&gt;""))),"Yes","No"))</f>
        <v/>
      </c>
    </row>
    <row r="1759" spans="11:11">
      <c r="K1759" s="11">
        <f>IF(OR(A1759="",C1759=""),"",IF(AND(COUNTIF(Responses!$A$6:$A$205,A1759)=1,B1759&lt;&gt;"",COUNTIFS($A$6:$A$2005,A1759,$B$6:$B$2005,B1759)=1,OR(F1759="Supported",F1759="Unsupported",F1759="Contradicted"),OR(G1759="Supported",G1759="Wrong citation",G1759="Missing citation"),OR(H1759="Yes",H1759="No"),I1759&lt;&gt;"",OR(F1759&lt;&gt;"Supported",E1759&lt;&gt;""),OR(G1759&lt;&gt;"Supported",AND(F1759="Supported",D1759&lt;&gt;"",E1759&lt;&gt;""))),"Yes","No"))</f>
        <v/>
      </c>
    </row>
    <row r="1760" spans="11:11">
      <c r="K1760" s="11">
        <f>IF(OR(A1760="",C1760=""),"",IF(AND(COUNTIF(Responses!$A$6:$A$205,A1760)=1,B1760&lt;&gt;"",COUNTIFS($A$6:$A$2005,A1760,$B$6:$B$2005,B1760)=1,OR(F1760="Supported",F1760="Unsupported",F1760="Contradicted"),OR(G1760="Supported",G1760="Wrong citation",G1760="Missing citation"),OR(H1760="Yes",H1760="No"),I1760&lt;&gt;"",OR(F1760&lt;&gt;"Supported",E1760&lt;&gt;""),OR(G1760&lt;&gt;"Supported",AND(F1760="Supported",D1760&lt;&gt;"",E1760&lt;&gt;""))),"Yes","No"))</f>
        <v/>
      </c>
    </row>
    <row r="1761" spans="11:11">
      <c r="K1761" s="11">
        <f>IF(OR(A1761="",C1761=""),"",IF(AND(COUNTIF(Responses!$A$6:$A$205,A1761)=1,B1761&lt;&gt;"",COUNTIFS($A$6:$A$2005,A1761,$B$6:$B$2005,B1761)=1,OR(F1761="Supported",F1761="Unsupported",F1761="Contradicted"),OR(G1761="Supported",G1761="Wrong citation",G1761="Missing citation"),OR(H1761="Yes",H1761="No"),I1761&lt;&gt;"",OR(F1761&lt;&gt;"Supported",E1761&lt;&gt;""),OR(G1761&lt;&gt;"Supported",AND(F1761="Supported",D1761&lt;&gt;"",E1761&lt;&gt;""))),"Yes","No"))</f>
        <v/>
      </c>
    </row>
    <row r="1762" spans="11:11">
      <c r="K1762" s="11">
        <f>IF(OR(A1762="",C1762=""),"",IF(AND(COUNTIF(Responses!$A$6:$A$205,A1762)=1,B1762&lt;&gt;"",COUNTIFS($A$6:$A$2005,A1762,$B$6:$B$2005,B1762)=1,OR(F1762="Supported",F1762="Unsupported",F1762="Contradicted"),OR(G1762="Supported",G1762="Wrong citation",G1762="Missing citation"),OR(H1762="Yes",H1762="No"),I1762&lt;&gt;"",OR(F1762&lt;&gt;"Supported",E1762&lt;&gt;""),OR(G1762&lt;&gt;"Supported",AND(F1762="Supported",D1762&lt;&gt;"",E1762&lt;&gt;""))),"Yes","No"))</f>
        <v/>
      </c>
    </row>
    <row r="1763" spans="11:11">
      <c r="K1763" s="11">
        <f>IF(OR(A1763="",C1763=""),"",IF(AND(COUNTIF(Responses!$A$6:$A$205,A1763)=1,B1763&lt;&gt;"",COUNTIFS($A$6:$A$2005,A1763,$B$6:$B$2005,B1763)=1,OR(F1763="Supported",F1763="Unsupported",F1763="Contradicted"),OR(G1763="Supported",G1763="Wrong citation",G1763="Missing citation"),OR(H1763="Yes",H1763="No"),I1763&lt;&gt;"",OR(F1763&lt;&gt;"Supported",E1763&lt;&gt;""),OR(G1763&lt;&gt;"Supported",AND(F1763="Supported",D1763&lt;&gt;"",E1763&lt;&gt;""))),"Yes","No"))</f>
        <v/>
      </c>
    </row>
    <row r="1764" spans="11:11">
      <c r="K1764" s="11">
        <f>IF(OR(A1764="",C1764=""),"",IF(AND(COUNTIF(Responses!$A$6:$A$205,A1764)=1,B1764&lt;&gt;"",COUNTIFS($A$6:$A$2005,A1764,$B$6:$B$2005,B1764)=1,OR(F1764="Supported",F1764="Unsupported",F1764="Contradicted"),OR(G1764="Supported",G1764="Wrong citation",G1764="Missing citation"),OR(H1764="Yes",H1764="No"),I1764&lt;&gt;"",OR(F1764&lt;&gt;"Supported",E1764&lt;&gt;""),OR(G1764&lt;&gt;"Supported",AND(F1764="Supported",D1764&lt;&gt;"",E1764&lt;&gt;""))),"Yes","No"))</f>
        <v/>
      </c>
    </row>
    <row r="1765" spans="11:11">
      <c r="K1765" s="11">
        <f>IF(OR(A1765="",C1765=""),"",IF(AND(COUNTIF(Responses!$A$6:$A$205,A1765)=1,B1765&lt;&gt;"",COUNTIFS($A$6:$A$2005,A1765,$B$6:$B$2005,B1765)=1,OR(F1765="Supported",F1765="Unsupported",F1765="Contradicted"),OR(G1765="Supported",G1765="Wrong citation",G1765="Missing citation"),OR(H1765="Yes",H1765="No"),I1765&lt;&gt;"",OR(F1765&lt;&gt;"Supported",E1765&lt;&gt;""),OR(G1765&lt;&gt;"Supported",AND(F1765="Supported",D1765&lt;&gt;"",E1765&lt;&gt;""))),"Yes","No"))</f>
        <v/>
      </c>
    </row>
    <row r="1766" spans="11:11">
      <c r="K1766" s="11">
        <f>IF(OR(A1766="",C1766=""),"",IF(AND(COUNTIF(Responses!$A$6:$A$205,A1766)=1,B1766&lt;&gt;"",COUNTIFS($A$6:$A$2005,A1766,$B$6:$B$2005,B1766)=1,OR(F1766="Supported",F1766="Unsupported",F1766="Contradicted"),OR(G1766="Supported",G1766="Wrong citation",G1766="Missing citation"),OR(H1766="Yes",H1766="No"),I1766&lt;&gt;"",OR(F1766&lt;&gt;"Supported",E1766&lt;&gt;""),OR(G1766&lt;&gt;"Supported",AND(F1766="Supported",D1766&lt;&gt;"",E1766&lt;&gt;""))),"Yes","No"))</f>
        <v/>
      </c>
    </row>
    <row r="1767" spans="11:11">
      <c r="K1767" s="11">
        <f>IF(OR(A1767="",C1767=""),"",IF(AND(COUNTIF(Responses!$A$6:$A$205,A1767)=1,B1767&lt;&gt;"",COUNTIFS($A$6:$A$2005,A1767,$B$6:$B$2005,B1767)=1,OR(F1767="Supported",F1767="Unsupported",F1767="Contradicted"),OR(G1767="Supported",G1767="Wrong citation",G1767="Missing citation"),OR(H1767="Yes",H1767="No"),I1767&lt;&gt;"",OR(F1767&lt;&gt;"Supported",E1767&lt;&gt;""),OR(G1767&lt;&gt;"Supported",AND(F1767="Supported",D1767&lt;&gt;"",E1767&lt;&gt;""))),"Yes","No"))</f>
        <v/>
      </c>
    </row>
    <row r="1768" spans="11:11">
      <c r="K1768" s="11">
        <f>IF(OR(A1768="",C1768=""),"",IF(AND(COUNTIF(Responses!$A$6:$A$205,A1768)=1,B1768&lt;&gt;"",COUNTIFS($A$6:$A$2005,A1768,$B$6:$B$2005,B1768)=1,OR(F1768="Supported",F1768="Unsupported",F1768="Contradicted"),OR(G1768="Supported",G1768="Wrong citation",G1768="Missing citation"),OR(H1768="Yes",H1768="No"),I1768&lt;&gt;"",OR(F1768&lt;&gt;"Supported",E1768&lt;&gt;""),OR(G1768&lt;&gt;"Supported",AND(F1768="Supported",D1768&lt;&gt;"",E1768&lt;&gt;""))),"Yes","No"))</f>
        <v/>
      </c>
    </row>
    <row r="1769" spans="11:11">
      <c r="K1769" s="11">
        <f>IF(OR(A1769="",C1769=""),"",IF(AND(COUNTIF(Responses!$A$6:$A$205,A1769)=1,B1769&lt;&gt;"",COUNTIFS($A$6:$A$2005,A1769,$B$6:$B$2005,B1769)=1,OR(F1769="Supported",F1769="Unsupported",F1769="Contradicted"),OR(G1769="Supported",G1769="Wrong citation",G1769="Missing citation"),OR(H1769="Yes",H1769="No"),I1769&lt;&gt;"",OR(F1769&lt;&gt;"Supported",E1769&lt;&gt;""),OR(G1769&lt;&gt;"Supported",AND(F1769="Supported",D1769&lt;&gt;"",E1769&lt;&gt;""))),"Yes","No"))</f>
        <v/>
      </c>
    </row>
    <row r="1770" spans="11:11">
      <c r="K1770" s="11">
        <f>IF(OR(A1770="",C1770=""),"",IF(AND(COUNTIF(Responses!$A$6:$A$205,A1770)=1,B1770&lt;&gt;"",COUNTIFS($A$6:$A$2005,A1770,$B$6:$B$2005,B1770)=1,OR(F1770="Supported",F1770="Unsupported",F1770="Contradicted"),OR(G1770="Supported",G1770="Wrong citation",G1770="Missing citation"),OR(H1770="Yes",H1770="No"),I1770&lt;&gt;"",OR(F1770&lt;&gt;"Supported",E1770&lt;&gt;""),OR(G1770&lt;&gt;"Supported",AND(F1770="Supported",D1770&lt;&gt;"",E1770&lt;&gt;""))),"Yes","No"))</f>
        <v/>
      </c>
    </row>
    <row r="1771" spans="11:11">
      <c r="K1771" s="11">
        <f>IF(OR(A1771="",C1771=""),"",IF(AND(COUNTIF(Responses!$A$6:$A$205,A1771)=1,B1771&lt;&gt;"",COUNTIFS($A$6:$A$2005,A1771,$B$6:$B$2005,B1771)=1,OR(F1771="Supported",F1771="Unsupported",F1771="Contradicted"),OR(G1771="Supported",G1771="Wrong citation",G1771="Missing citation"),OR(H1771="Yes",H1771="No"),I1771&lt;&gt;"",OR(F1771&lt;&gt;"Supported",E1771&lt;&gt;""),OR(G1771&lt;&gt;"Supported",AND(F1771="Supported",D1771&lt;&gt;"",E1771&lt;&gt;""))),"Yes","No"))</f>
        <v/>
      </c>
    </row>
    <row r="1772" spans="11:11">
      <c r="K1772" s="11">
        <f>IF(OR(A1772="",C1772=""),"",IF(AND(COUNTIF(Responses!$A$6:$A$205,A1772)=1,B1772&lt;&gt;"",COUNTIFS($A$6:$A$2005,A1772,$B$6:$B$2005,B1772)=1,OR(F1772="Supported",F1772="Unsupported",F1772="Contradicted"),OR(G1772="Supported",G1772="Wrong citation",G1772="Missing citation"),OR(H1772="Yes",H1772="No"),I1772&lt;&gt;"",OR(F1772&lt;&gt;"Supported",E1772&lt;&gt;""),OR(G1772&lt;&gt;"Supported",AND(F1772="Supported",D1772&lt;&gt;"",E1772&lt;&gt;""))),"Yes","No"))</f>
        <v/>
      </c>
    </row>
    <row r="1773" spans="11:11">
      <c r="K1773" s="11">
        <f>IF(OR(A1773="",C1773=""),"",IF(AND(COUNTIF(Responses!$A$6:$A$205,A1773)=1,B1773&lt;&gt;"",COUNTIFS($A$6:$A$2005,A1773,$B$6:$B$2005,B1773)=1,OR(F1773="Supported",F1773="Unsupported",F1773="Contradicted"),OR(G1773="Supported",G1773="Wrong citation",G1773="Missing citation"),OR(H1773="Yes",H1773="No"),I1773&lt;&gt;"",OR(F1773&lt;&gt;"Supported",E1773&lt;&gt;""),OR(G1773&lt;&gt;"Supported",AND(F1773="Supported",D1773&lt;&gt;"",E1773&lt;&gt;""))),"Yes","No"))</f>
        <v/>
      </c>
    </row>
    <row r="1774" spans="11:11">
      <c r="K1774" s="11">
        <f>IF(OR(A1774="",C1774=""),"",IF(AND(COUNTIF(Responses!$A$6:$A$205,A1774)=1,B1774&lt;&gt;"",COUNTIFS($A$6:$A$2005,A1774,$B$6:$B$2005,B1774)=1,OR(F1774="Supported",F1774="Unsupported",F1774="Contradicted"),OR(G1774="Supported",G1774="Wrong citation",G1774="Missing citation"),OR(H1774="Yes",H1774="No"),I1774&lt;&gt;"",OR(F1774&lt;&gt;"Supported",E1774&lt;&gt;""),OR(G1774&lt;&gt;"Supported",AND(F1774="Supported",D1774&lt;&gt;"",E1774&lt;&gt;""))),"Yes","No"))</f>
        <v/>
      </c>
    </row>
    <row r="1775" spans="11:11">
      <c r="K1775" s="11">
        <f>IF(OR(A1775="",C1775=""),"",IF(AND(COUNTIF(Responses!$A$6:$A$205,A1775)=1,B1775&lt;&gt;"",COUNTIFS($A$6:$A$2005,A1775,$B$6:$B$2005,B1775)=1,OR(F1775="Supported",F1775="Unsupported",F1775="Contradicted"),OR(G1775="Supported",G1775="Wrong citation",G1775="Missing citation"),OR(H1775="Yes",H1775="No"),I1775&lt;&gt;"",OR(F1775&lt;&gt;"Supported",E1775&lt;&gt;""),OR(G1775&lt;&gt;"Supported",AND(F1775="Supported",D1775&lt;&gt;"",E1775&lt;&gt;""))),"Yes","No"))</f>
        <v/>
      </c>
    </row>
    <row r="1776" spans="11:11">
      <c r="K1776" s="11">
        <f>IF(OR(A1776="",C1776=""),"",IF(AND(COUNTIF(Responses!$A$6:$A$205,A1776)=1,B1776&lt;&gt;"",COUNTIFS($A$6:$A$2005,A1776,$B$6:$B$2005,B1776)=1,OR(F1776="Supported",F1776="Unsupported",F1776="Contradicted"),OR(G1776="Supported",G1776="Wrong citation",G1776="Missing citation"),OR(H1776="Yes",H1776="No"),I1776&lt;&gt;"",OR(F1776&lt;&gt;"Supported",E1776&lt;&gt;""),OR(G1776&lt;&gt;"Supported",AND(F1776="Supported",D1776&lt;&gt;"",E1776&lt;&gt;""))),"Yes","No"))</f>
        <v/>
      </c>
    </row>
    <row r="1777" spans="11:11">
      <c r="K1777" s="11">
        <f>IF(OR(A1777="",C1777=""),"",IF(AND(COUNTIF(Responses!$A$6:$A$205,A1777)=1,B1777&lt;&gt;"",COUNTIFS($A$6:$A$2005,A1777,$B$6:$B$2005,B1777)=1,OR(F1777="Supported",F1777="Unsupported",F1777="Contradicted"),OR(G1777="Supported",G1777="Wrong citation",G1777="Missing citation"),OR(H1777="Yes",H1777="No"),I1777&lt;&gt;"",OR(F1777&lt;&gt;"Supported",E1777&lt;&gt;""),OR(G1777&lt;&gt;"Supported",AND(F1777="Supported",D1777&lt;&gt;"",E1777&lt;&gt;""))),"Yes","No"))</f>
        <v/>
      </c>
    </row>
    <row r="1778" spans="11:11">
      <c r="K1778" s="11">
        <f>IF(OR(A1778="",C1778=""),"",IF(AND(COUNTIF(Responses!$A$6:$A$205,A1778)=1,B1778&lt;&gt;"",COUNTIFS($A$6:$A$2005,A1778,$B$6:$B$2005,B1778)=1,OR(F1778="Supported",F1778="Unsupported",F1778="Contradicted"),OR(G1778="Supported",G1778="Wrong citation",G1778="Missing citation"),OR(H1778="Yes",H1778="No"),I1778&lt;&gt;"",OR(F1778&lt;&gt;"Supported",E1778&lt;&gt;""),OR(G1778&lt;&gt;"Supported",AND(F1778="Supported",D1778&lt;&gt;"",E1778&lt;&gt;""))),"Yes","No"))</f>
        <v/>
      </c>
    </row>
    <row r="1779" spans="11:11">
      <c r="K1779" s="11">
        <f>IF(OR(A1779="",C1779=""),"",IF(AND(COUNTIF(Responses!$A$6:$A$205,A1779)=1,B1779&lt;&gt;"",COUNTIFS($A$6:$A$2005,A1779,$B$6:$B$2005,B1779)=1,OR(F1779="Supported",F1779="Unsupported",F1779="Contradicted"),OR(G1779="Supported",G1779="Wrong citation",G1779="Missing citation"),OR(H1779="Yes",H1779="No"),I1779&lt;&gt;"",OR(F1779&lt;&gt;"Supported",E1779&lt;&gt;""),OR(G1779&lt;&gt;"Supported",AND(F1779="Supported",D1779&lt;&gt;"",E1779&lt;&gt;""))),"Yes","No"))</f>
        <v/>
      </c>
    </row>
    <row r="1780" spans="11:11">
      <c r="K1780" s="11">
        <f>IF(OR(A1780="",C1780=""),"",IF(AND(COUNTIF(Responses!$A$6:$A$205,A1780)=1,B1780&lt;&gt;"",COUNTIFS($A$6:$A$2005,A1780,$B$6:$B$2005,B1780)=1,OR(F1780="Supported",F1780="Unsupported",F1780="Contradicted"),OR(G1780="Supported",G1780="Wrong citation",G1780="Missing citation"),OR(H1780="Yes",H1780="No"),I1780&lt;&gt;"",OR(F1780&lt;&gt;"Supported",E1780&lt;&gt;""),OR(G1780&lt;&gt;"Supported",AND(F1780="Supported",D1780&lt;&gt;"",E1780&lt;&gt;""))),"Yes","No"))</f>
        <v/>
      </c>
    </row>
    <row r="1781" spans="11:11">
      <c r="K1781" s="11">
        <f>IF(OR(A1781="",C1781=""),"",IF(AND(COUNTIF(Responses!$A$6:$A$205,A1781)=1,B1781&lt;&gt;"",COUNTIFS($A$6:$A$2005,A1781,$B$6:$B$2005,B1781)=1,OR(F1781="Supported",F1781="Unsupported",F1781="Contradicted"),OR(G1781="Supported",G1781="Wrong citation",G1781="Missing citation"),OR(H1781="Yes",H1781="No"),I1781&lt;&gt;"",OR(F1781&lt;&gt;"Supported",E1781&lt;&gt;""),OR(G1781&lt;&gt;"Supported",AND(F1781="Supported",D1781&lt;&gt;"",E1781&lt;&gt;""))),"Yes","No"))</f>
        <v/>
      </c>
    </row>
    <row r="1782" spans="11:11">
      <c r="K1782" s="11">
        <f>IF(OR(A1782="",C1782=""),"",IF(AND(COUNTIF(Responses!$A$6:$A$205,A1782)=1,B1782&lt;&gt;"",COUNTIFS($A$6:$A$2005,A1782,$B$6:$B$2005,B1782)=1,OR(F1782="Supported",F1782="Unsupported",F1782="Contradicted"),OR(G1782="Supported",G1782="Wrong citation",G1782="Missing citation"),OR(H1782="Yes",H1782="No"),I1782&lt;&gt;"",OR(F1782&lt;&gt;"Supported",E1782&lt;&gt;""),OR(G1782&lt;&gt;"Supported",AND(F1782="Supported",D1782&lt;&gt;"",E1782&lt;&gt;""))),"Yes","No"))</f>
        <v/>
      </c>
    </row>
    <row r="1783" spans="11:11">
      <c r="K1783" s="11">
        <f>IF(OR(A1783="",C1783=""),"",IF(AND(COUNTIF(Responses!$A$6:$A$205,A1783)=1,B1783&lt;&gt;"",COUNTIFS($A$6:$A$2005,A1783,$B$6:$B$2005,B1783)=1,OR(F1783="Supported",F1783="Unsupported",F1783="Contradicted"),OR(G1783="Supported",G1783="Wrong citation",G1783="Missing citation"),OR(H1783="Yes",H1783="No"),I1783&lt;&gt;"",OR(F1783&lt;&gt;"Supported",E1783&lt;&gt;""),OR(G1783&lt;&gt;"Supported",AND(F1783="Supported",D1783&lt;&gt;"",E1783&lt;&gt;""))),"Yes","No"))</f>
        <v/>
      </c>
    </row>
    <row r="1784" spans="11:11">
      <c r="K1784" s="11">
        <f>IF(OR(A1784="",C1784=""),"",IF(AND(COUNTIF(Responses!$A$6:$A$205,A1784)=1,B1784&lt;&gt;"",COUNTIFS($A$6:$A$2005,A1784,$B$6:$B$2005,B1784)=1,OR(F1784="Supported",F1784="Unsupported",F1784="Contradicted"),OR(G1784="Supported",G1784="Wrong citation",G1784="Missing citation"),OR(H1784="Yes",H1784="No"),I1784&lt;&gt;"",OR(F1784&lt;&gt;"Supported",E1784&lt;&gt;""),OR(G1784&lt;&gt;"Supported",AND(F1784="Supported",D1784&lt;&gt;"",E1784&lt;&gt;""))),"Yes","No"))</f>
        <v/>
      </c>
    </row>
    <row r="1785" spans="11:11">
      <c r="K1785" s="11">
        <f>IF(OR(A1785="",C1785=""),"",IF(AND(COUNTIF(Responses!$A$6:$A$205,A1785)=1,B1785&lt;&gt;"",COUNTIFS($A$6:$A$2005,A1785,$B$6:$B$2005,B1785)=1,OR(F1785="Supported",F1785="Unsupported",F1785="Contradicted"),OR(G1785="Supported",G1785="Wrong citation",G1785="Missing citation"),OR(H1785="Yes",H1785="No"),I1785&lt;&gt;"",OR(F1785&lt;&gt;"Supported",E1785&lt;&gt;""),OR(G1785&lt;&gt;"Supported",AND(F1785="Supported",D1785&lt;&gt;"",E1785&lt;&gt;""))),"Yes","No"))</f>
        <v/>
      </c>
    </row>
    <row r="1786" spans="11:11">
      <c r="K1786" s="11">
        <f>IF(OR(A1786="",C1786=""),"",IF(AND(COUNTIF(Responses!$A$6:$A$205,A1786)=1,B1786&lt;&gt;"",COUNTIFS($A$6:$A$2005,A1786,$B$6:$B$2005,B1786)=1,OR(F1786="Supported",F1786="Unsupported",F1786="Contradicted"),OR(G1786="Supported",G1786="Wrong citation",G1786="Missing citation"),OR(H1786="Yes",H1786="No"),I1786&lt;&gt;"",OR(F1786&lt;&gt;"Supported",E1786&lt;&gt;""),OR(G1786&lt;&gt;"Supported",AND(F1786="Supported",D1786&lt;&gt;"",E1786&lt;&gt;""))),"Yes","No"))</f>
        <v/>
      </c>
    </row>
    <row r="1787" spans="11:11">
      <c r="K1787" s="11">
        <f>IF(OR(A1787="",C1787=""),"",IF(AND(COUNTIF(Responses!$A$6:$A$205,A1787)=1,B1787&lt;&gt;"",COUNTIFS($A$6:$A$2005,A1787,$B$6:$B$2005,B1787)=1,OR(F1787="Supported",F1787="Unsupported",F1787="Contradicted"),OR(G1787="Supported",G1787="Wrong citation",G1787="Missing citation"),OR(H1787="Yes",H1787="No"),I1787&lt;&gt;"",OR(F1787&lt;&gt;"Supported",E1787&lt;&gt;""),OR(G1787&lt;&gt;"Supported",AND(F1787="Supported",D1787&lt;&gt;"",E1787&lt;&gt;""))),"Yes","No"))</f>
        <v/>
      </c>
    </row>
    <row r="1788" spans="11:11">
      <c r="K1788" s="11">
        <f>IF(OR(A1788="",C1788=""),"",IF(AND(COUNTIF(Responses!$A$6:$A$205,A1788)=1,B1788&lt;&gt;"",COUNTIFS($A$6:$A$2005,A1788,$B$6:$B$2005,B1788)=1,OR(F1788="Supported",F1788="Unsupported",F1788="Contradicted"),OR(G1788="Supported",G1788="Wrong citation",G1788="Missing citation"),OR(H1788="Yes",H1788="No"),I1788&lt;&gt;"",OR(F1788&lt;&gt;"Supported",E1788&lt;&gt;""),OR(G1788&lt;&gt;"Supported",AND(F1788="Supported",D1788&lt;&gt;"",E1788&lt;&gt;""))),"Yes","No"))</f>
        <v/>
      </c>
    </row>
    <row r="1789" spans="11:11">
      <c r="K1789" s="11">
        <f>IF(OR(A1789="",C1789=""),"",IF(AND(COUNTIF(Responses!$A$6:$A$205,A1789)=1,B1789&lt;&gt;"",COUNTIFS($A$6:$A$2005,A1789,$B$6:$B$2005,B1789)=1,OR(F1789="Supported",F1789="Unsupported",F1789="Contradicted"),OR(G1789="Supported",G1789="Wrong citation",G1789="Missing citation"),OR(H1789="Yes",H1789="No"),I1789&lt;&gt;"",OR(F1789&lt;&gt;"Supported",E1789&lt;&gt;""),OR(G1789&lt;&gt;"Supported",AND(F1789="Supported",D1789&lt;&gt;"",E1789&lt;&gt;""))),"Yes","No"))</f>
        <v/>
      </c>
    </row>
    <row r="1790" spans="11:11">
      <c r="K1790" s="11">
        <f>IF(OR(A1790="",C1790=""),"",IF(AND(COUNTIF(Responses!$A$6:$A$205,A1790)=1,B1790&lt;&gt;"",COUNTIFS($A$6:$A$2005,A1790,$B$6:$B$2005,B1790)=1,OR(F1790="Supported",F1790="Unsupported",F1790="Contradicted"),OR(G1790="Supported",G1790="Wrong citation",G1790="Missing citation"),OR(H1790="Yes",H1790="No"),I1790&lt;&gt;"",OR(F1790&lt;&gt;"Supported",E1790&lt;&gt;""),OR(G1790&lt;&gt;"Supported",AND(F1790="Supported",D1790&lt;&gt;"",E1790&lt;&gt;""))),"Yes","No"))</f>
        <v/>
      </c>
    </row>
    <row r="1791" spans="11:11">
      <c r="K1791" s="11">
        <f>IF(OR(A1791="",C1791=""),"",IF(AND(COUNTIF(Responses!$A$6:$A$205,A1791)=1,B1791&lt;&gt;"",COUNTIFS($A$6:$A$2005,A1791,$B$6:$B$2005,B1791)=1,OR(F1791="Supported",F1791="Unsupported",F1791="Contradicted"),OR(G1791="Supported",G1791="Wrong citation",G1791="Missing citation"),OR(H1791="Yes",H1791="No"),I1791&lt;&gt;"",OR(F1791&lt;&gt;"Supported",E1791&lt;&gt;""),OR(G1791&lt;&gt;"Supported",AND(F1791="Supported",D1791&lt;&gt;"",E1791&lt;&gt;""))),"Yes","No"))</f>
        <v/>
      </c>
    </row>
    <row r="1792" spans="11:11">
      <c r="K1792" s="11">
        <f>IF(OR(A1792="",C1792=""),"",IF(AND(COUNTIF(Responses!$A$6:$A$205,A1792)=1,B1792&lt;&gt;"",COUNTIFS($A$6:$A$2005,A1792,$B$6:$B$2005,B1792)=1,OR(F1792="Supported",F1792="Unsupported",F1792="Contradicted"),OR(G1792="Supported",G1792="Wrong citation",G1792="Missing citation"),OR(H1792="Yes",H1792="No"),I1792&lt;&gt;"",OR(F1792&lt;&gt;"Supported",E1792&lt;&gt;""),OR(G1792&lt;&gt;"Supported",AND(F1792="Supported",D1792&lt;&gt;"",E1792&lt;&gt;""))),"Yes","No"))</f>
        <v/>
      </c>
    </row>
    <row r="1793" spans="11:11">
      <c r="K1793" s="11">
        <f>IF(OR(A1793="",C1793=""),"",IF(AND(COUNTIF(Responses!$A$6:$A$205,A1793)=1,B1793&lt;&gt;"",COUNTIFS($A$6:$A$2005,A1793,$B$6:$B$2005,B1793)=1,OR(F1793="Supported",F1793="Unsupported",F1793="Contradicted"),OR(G1793="Supported",G1793="Wrong citation",G1793="Missing citation"),OR(H1793="Yes",H1793="No"),I1793&lt;&gt;"",OR(F1793&lt;&gt;"Supported",E1793&lt;&gt;""),OR(G1793&lt;&gt;"Supported",AND(F1793="Supported",D1793&lt;&gt;"",E1793&lt;&gt;""))),"Yes","No"))</f>
        <v/>
      </c>
    </row>
    <row r="1794" spans="11:11">
      <c r="K1794" s="11">
        <f>IF(OR(A1794="",C1794=""),"",IF(AND(COUNTIF(Responses!$A$6:$A$205,A1794)=1,B1794&lt;&gt;"",COUNTIFS($A$6:$A$2005,A1794,$B$6:$B$2005,B1794)=1,OR(F1794="Supported",F1794="Unsupported",F1794="Contradicted"),OR(G1794="Supported",G1794="Wrong citation",G1794="Missing citation"),OR(H1794="Yes",H1794="No"),I1794&lt;&gt;"",OR(F1794&lt;&gt;"Supported",E1794&lt;&gt;""),OR(G1794&lt;&gt;"Supported",AND(F1794="Supported",D1794&lt;&gt;"",E1794&lt;&gt;""))),"Yes","No"))</f>
        <v/>
      </c>
    </row>
    <row r="1795" spans="11:11">
      <c r="K1795" s="11">
        <f>IF(OR(A1795="",C1795=""),"",IF(AND(COUNTIF(Responses!$A$6:$A$205,A1795)=1,B1795&lt;&gt;"",COUNTIFS($A$6:$A$2005,A1795,$B$6:$B$2005,B1795)=1,OR(F1795="Supported",F1795="Unsupported",F1795="Contradicted"),OR(G1795="Supported",G1795="Wrong citation",G1795="Missing citation"),OR(H1795="Yes",H1795="No"),I1795&lt;&gt;"",OR(F1795&lt;&gt;"Supported",E1795&lt;&gt;""),OR(G1795&lt;&gt;"Supported",AND(F1795="Supported",D1795&lt;&gt;"",E1795&lt;&gt;""))),"Yes","No"))</f>
        <v/>
      </c>
    </row>
    <row r="1796" spans="11:11">
      <c r="K1796" s="11">
        <f>IF(OR(A1796="",C1796=""),"",IF(AND(COUNTIF(Responses!$A$6:$A$205,A1796)=1,B1796&lt;&gt;"",COUNTIFS($A$6:$A$2005,A1796,$B$6:$B$2005,B1796)=1,OR(F1796="Supported",F1796="Unsupported",F1796="Contradicted"),OR(G1796="Supported",G1796="Wrong citation",G1796="Missing citation"),OR(H1796="Yes",H1796="No"),I1796&lt;&gt;"",OR(F1796&lt;&gt;"Supported",E1796&lt;&gt;""),OR(G1796&lt;&gt;"Supported",AND(F1796="Supported",D1796&lt;&gt;"",E1796&lt;&gt;""))),"Yes","No"))</f>
        <v/>
      </c>
    </row>
    <row r="1797" spans="11:11">
      <c r="K1797" s="11">
        <f>IF(OR(A1797="",C1797=""),"",IF(AND(COUNTIF(Responses!$A$6:$A$205,A1797)=1,B1797&lt;&gt;"",COUNTIFS($A$6:$A$2005,A1797,$B$6:$B$2005,B1797)=1,OR(F1797="Supported",F1797="Unsupported",F1797="Contradicted"),OR(G1797="Supported",G1797="Wrong citation",G1797="Missing citation"),OR(H1797="Yes",H1797="No"),I1797&lt;&gt;"",OR(F1797&lt;&gt;"Supported",E1797&lt;&gt;""),OR(G1797&lt;&gt;"Supported",AND(F1797="Supported",D1797&lt;&gt;"",E1797&lt;&gt;""))),"Yes","No"))</f>
        <v/>
      </c>
    </row>
    <row r="1798" spans="11:11">
      <c r="K1798" s="11">
        <f>IF(OR(A1798="",C1798=""),"",IF(AND(COUNTIF(Responses!$A$6:$A$205,A1798)=1,B1798&lt;&gt;"",COUNTIFS($A$6:$A$2005,A1798,$B$6:$B$2005,B1798)=1,OR(F1798="Supported",F1798="Unsupported",F1798="Contradicted"),OR(G1798="Supported",G1798="Wrong citation",G1798="Missing citation"),OR(H1798="Yes",H1798="No"),I1798&lt;&gt;"",OR(F1798&lt;&gt;"Supported",E1798&lt;&gt;""),OR(G1798&lt;&gt;"Supported",AND(F1798="Supported",D1798&lt;&gt;"",E1798&lt;&gt;""))),"Yes","No"))</f>
        <v/>
      </c>
    </row>
    <row r="1799" spans="11:11">
      <c r="K1799" s="11">
        <f>IF(OR(A1799="",C1799=""),"",IF(AND(COUNTIF(Responses!$A$6:$A$205,A1799)=1,B1799&lt;&gt;"",COUNTIFS($A$6:$A$2005,A1799,$B$6:$B$2005,B1799)=1,OR(F1799="Supported",F1799="Unsupported",F1799="Contradicted"),OR(G1799="Supported",G1799="Wrong citation",G1799="Missing citation"),OR(H1799="Yes",H1799="No"),I1799&lt;&gt;"",OR(F1799&lt;&gt;"Supported",E1799&lt;&gt;""),OR(G1799&lt;&gt;"Supported",AND(F1799="Supported",D1799&lt;&gt;"",E1799&lt;&gt;""))),"Yes","No"))</f>
        <v/>
      </c>
    </row>
    <row r="1800" spans="11:11">
      <c r="K1800" s="11">
        <f>IF(OR(A1800="",C1800=""),"",IF(AND(COUNTIF(Responses!$A$6:$A$205,A1800)=1,B1800&lt;&gt;"",COUNTIFS($A$6:$A$2005,A1800,$B$6:$B$2005,B1800)=1,OR(F1800="Supported",F1800="Unsupported",F1800="Contradicted"),OR(G1800="Supported",G1800="Wrong citation",G1800="Missing citation"),OR(H1800="Yes",H1800="No"),I1800&lt;&gt;"",OR(F1800&lt;&gt;"Supported",E1800&lt;&gt;""),OR(G1800&lt;&gt;"Supported",AND(F1800="Supported",D1800&lt;&gt;"",E1800&lt;&gt;""))),"Yes","No"))</f>
        <v/>
      </c>
    </row>
    <row r="1801" spans="11:11">
      <c r="K1801" s="11">
        <f>IF(OR(A1801="",C1801=""),"",IF(AND(COUNTIF(Responses!$A$6:$A$205,A1801)=1,B1801&lt;&gt;"",COUNTIFS($A$6:$A$2005,A1801,$B$6:$B$2005,B1801)=1,OR(F1801="Supported",F1801="Unsupported",F1801="Contradicted"),OR(G1801="Supported",G1801="Wrong citation",G1801="Missing citation"),OR(H1801="Yes",H1801="No"),I1801&lt;&gt;"",OR(F1801&lt;&gt;"Supported",E1801&lt;&gt;""),OR(G1801&lt;&gt;"Supported",AND(F1801="Supported",D1801&lt;&gt;"",E1801&lt;&gt;""))),"Yes","No"))</f>
        <v/>
      </c>
    </row>
    <row r="1802" spans="11:11">
      <c r="K1802" s="11">
        <f>IF(OR(A1802="",C1802=""),"",IF(AND(COUNTIF(Responses!$A$6:$A$205,A1802)=1,B1802&lt;&gt;"",COUNTIFS($A$6:$A$2005,A1802,$B$6:$B$2005,B1802)=1,OR(F1802="Supported",F1802="Unsupported",F1802="Contradicted"),OR(G1802="Supported",G1802="Wrong citation",G1802="Missing citation"),OR(H1802="Yes",H1802="No"),I1802&lt;&gt;"",OR(F1802&lt;&gt;"Supported",E1802&lt;&gt;""),OR(G1802&lt;&gt;"Supported",AND(F1802="Supported",D1802&lt;&gt;"",E1802&lt;&gt;""))),"Yes","No"))</f>
        <v/>
      </c>
    </row>
    <row r="1803" spans="11:11">
      <c r="K1803" s="11">
        <f>IF(OR(A1803="",C1803=""),"",IF(AND(COUNTIF(Responses!$A$6:$A$205,A1803)=1,B1803&lt;&gt;"",COUNTIFS($A$6:$A$2005,A1803,$B$6:$B$2005,B1803)=1,OR(F1803="Supported",F1803="Unsupported",F1803="Contradicted"),OR(G1803="Supported",G1803="Wrong citation",G1803="Missing citation"),OR(H1803="Yes",H1803="No"),I1803&lt;&gt;"",OR(F1803&lt;&gt;"Supported",E1803&lt;&gt;""),OR(G1803&lt;&gt;"Supported",AND(F1803="Supported",D1803&lt;&gt;"",E1803&lt;&gt;""))),"Yes","No"))</f>
        <v/>
      </c>
    </row>
    <row r="1804" spans="11:11">
      <c r="K1804" s="11">
        <f>IF(OR(A1804="",C1804=""),"",IF(AND(COUNTIF(Responses!$A$6:$A$205,A1804)=1,B1804&lt;&gt;"",COUNTIFS($A$6:$A$2005,A1804,$B$6:$B$2005,B1804)=1,OR(F1804="Supported",F1804="Unsupported",F1804="Contradicted"),OR(G1804="Supported",G1804="Wrong citation",G1804="Missing citation"),OR(H1804="Yes",H1804="No"),I1804&lt;&gt;"",OR(F1804&lt;&gt;"Supported",E1804&lt;&gt;""),OR(G1804&lt;&gt;"Supported",AND(F1804="Supported",D1804&lt;&gt;"",E1804&lt;&gt;""))),"Yes","No"))</f>
        <v/>
      </c>
    </row>
    <row r="1805" spans="11:11">
      <c r="K1805" s="11">
        <f>IF(OR(A1805="",C1805=""),"",IF(AND(COUNTIF(Responses!$A$6:$A$205,A1805)=1,B1805&lt;&gt;"",COUNTIFS($A$6:$A$2005,A1805,$B$6:$B$2005,B1805)=1,OR(F1805="Supported",F1805="Unsupported",F1805="Contradicted"),OR(G1805="Supported",G1805="Wrong citation",G1805="Missing citation"),OR(H1805="Yes",H1805="No"),I1805&lt;&gt;"",OR(F1805&lt;&gt;"Supported",E1805&lt;&gt;""),OR(G1805&lt;&gt;"Supported",AND(F1805="Supported",D1805&lt;&gt;"",E1805&lt;&gt;""))),"Yes","No"))</f>
        <v/>
      </c>
    </row>
    <row r="1806" spans="11:11">
      <c r="K1806" s="11">
        <f>IF(OR(A1806="",C1806=""),"",IF(AND(COUNTIF(Responses!$A$6:$A$205,A1806)=1,B1806&lt;&gt;"",COUNTIFS($A$6:$A$2005,A1806,$B$6:$B$2005,B1806)=1,OR(F1806="Supported",F1806="Unsupported",F1806="Contradicted"),OR(G1806="Supported",G1806="Wrong citation",G1806="Missing citation"),OR(H1806="Yes",H1806="No"),I1806&lt;&gt;"",OR(F1806&lt;&gt;"Supported",E1806&lt;&gt;""),OR(G1806&lt;&gt;"Supported",AND(F1806="Supported",D1806&lt;&gt;"",E1806&lt;&gt;""))),"Yes","No"))</f>
        <v/>
      </c>
    </row>
    <row r="1807" spans="11:11">
      <c r="K1807" s="11">
        <f>IF(OR(A1807="",C1807=""),"",IF(AND(COUNTIF(Responses!$A$6:$A$205,A1807)=1,B1807&lt;&gt;"",COUNTIFS($A$6:$A$2005,A1807,$B$6:$B$2005,B1807)=1,OR(F1807="Supported",F1807="Unsupported",F1807="Contradicted"),OR(G1807="Supported",G1807="Wrong citation",G1807="Missing citation"),OR(H1807="Yes",H1807="No"),I1807&lt;&gt;"",OR(F1807&lt;&gt;"Supported",E1807&lt;&gt;""),OR(G1807&lt;&gt;"Supported",AND(F1807="Supported",D1807&lt;&gt;"",E1807&lt;&gt;""))),"Yes","No"))</f>
        <v/>
      </c>
    </row>
    <row r="1808" spans="11:11">
      <c r="K1808" s="11">
        <f>IF(OR(A1808="",C1808=""),"",IF(AND(COUNTIF(Responses!$A$6:$A$205,A1808)=1,B1808&lt;&gt;"",COUNTIFS($A$6:$A$2005,A1808,$B$6:$B$2005,B1808)=1,OR(F1808="Supported",F1808="Unsupported",F1808="Contradicted"),OR(G1808="Supported",G1808="Wrong citation",G1808="Missing citation"),OR(H1808="Yes",H1808="No"),I1808&lt;&gt;"",OR(F1808&lt;&gt;"Supported",E1808&lt;&gt;""),OR(G1808&lt;&gt;"Supported",AND(F1808="Supported",D1808&lt;&gt;"",E1808&lt;&gt;""))),"Yes","No"))</f>
        <v/>
      </c>
    </row>
    <row r="1809" spans="11:11">
      <c r="K1809" s="11">
        <f>IF(OR(A1809="",C1809=""),"",IF(AND(COUNTIF(Responses!$A$6:$A$205,A1809)=1,B1809&lt;&gt;"",COUNTIFS($A$6:$A$2005,A1809,$B$6:$B$2005,B1809)=1,OR(F1809="Supported",F1809="Unsupported",F1809="Contradicted"),OR(G1809="Supported",G1809="Wrong citation",G1809="Missing citation"),OR(H1809="Yes",H1809="No"),I1809&lt;&gt;"",OR(F1809&lt;&gt;"Supported",E1809&lt;&gt;""),OR(G1809&lt;&gt;"Supported",AND(F1809="Supported",D1809&lt;&gt;"",E1809&lt;&gt;""))),"Yes","No"))</f>
        <v/>
      </c>
    </row>
    <row r="1810" spans="11:11">
      <c r="K1810" s="11">
        <f>IF(OR(A1810="",C1810=""),"",IF(AND(COUNTIF(Responses!$A$6:$A$205,A1810)=1,B1810&lt;&gt;"",COUNTIFS($A$6:$A$2005,A1810,$B$6:$B$2005,B1810)=1,OR(F1810="Supported",F1810="Unsupported",F1810="Contradicted"),OR(G1810="Supported",G1810="Wrong citation",G1810="Missing citation"),OR(H1810="Yes",H1810="No"),I1810&lt;&gt;"",OR(F1810&lt;&gt;"Supported",E1810&lt;&gt;""),OR(G1810&lt;&gt;"Supported",AND(F1810="Supported",D1810&lt;&gt;"",E1810&lt;&gt;""))),"Yes","No"))</f>
        <v/>
      </c>
    </row>
    <row r="1811" spans="11:11">
      <c r="K1811" s="11">
        <f>IF(OR(A1811="",C1811=""),"",IF(AND(COUNTIF(Responses!$A$6:$A$205,A1811)=1,B1811&lt;&gt;"",COUNTIFS($A$6:$A$2005,A1811,$B$6:$B$2005,B1811)=1,OR(F1811="Supported",F1811="Unsupported",F1811="Contradicted"),OR(G1811="Supported",G1811="Wrong citation",G1811="Missing citation"),OR(H1811="Yes",H1811="No"),I1811&lt;&gt;"",OR(F1811&lt;&gt;"Supported",E1811&lt;&gt;""),OR(G1811&lt;&gt;"Supported",AND(F1811="Supported",D1811&lt;&gt;"",E1811&lt;&gt;""))),"Yes","No"))</f>
        <v/>
      </c>
    </row>
    <row r="1812" spans="11:11">
      <c r="K1812" s="11">
        <f>IF(OR(A1812="",C1812=""),"",IF(AND(COUNTIF(Responses!$A$6:$A$205,A1812)=1,B1812&lt;&gt;"",COUNTIFS($A$6:$A$2005,A1812,$B$6:$B$2005,B1812)=1,OR(F1812="Supported",F1812="Unsupported",F1812="Contradicted"),OR(G1812="Supported",G1812="Wrong citation",G1812="Missing citation"),OR(H1812="Yes",H1812="No"),I1812&lt;&gt;"",OR(F1812&lt;&gt;"Supported",E1812&lt;&gt;""),OR(G1812&lt;&gt;"Supported",AND(F1812="Supported",D1812&lt;&gt;"",E1812&lt;&gt;""))),"Yes","No"))</f>
        <v/>
      </c>
    </row>
    <row r="1813" spans="11:11">
      <c r="K1813" s="11">
        <f>IF(OR(A1813="",C1813=""),"",IF(AND(COUNTIF(Responses!$A$6:$A$205,A1813)=1,B1813&lt;&gt;"",COUNTIFS($A$6:$A$2005,A1813,$B$6:$B$2005,B1813)=1,OR(F1813="Supported",F1813="Unsupported",F1813="Contradicted"),OR(G1813="Supported",G1813="Wrong citation",G1813="Missing citation"),OR(H1813="Yes",H1813="No"),I1813&lt;&gt;"",OR(F1813&lt;&gt;"Supported",E1813&lt;&gt;""),OR(G1813&lt;&gt;"Supported",AND(F1813="Supported",D1813&lt;&gt;"",E1813&lt;&gt;""))),"Yes","No"))</f>
        <v/>
      </c>
    </row>
    <row r="1814" spans="11:11">
      <c r="K1814" s="11">
        <f>IF(OR(A1814="",C1814=""),"",IF(AND(COUNTIF(Responses!$A$6:$A$205,A1814)=1,B1814&lt;&gt;"",COUNTIFS($A$6:$A$2005,A1814,$B$6:$B$2005,B1814)=1,OR(F1814="Supported",F1814="Unsupported",F1814="Contradicted"),OR(G1814="Supported",G1814="Wrong citation",G1814="Missing citation"),OR(H1814="Yes",H1814="No"),I1814&lt;&gt;"",OR(F1814&lt;&gt;"Supported",E1814&lt;&gt;""),OR(G1814&lt;&gt;"Supported",AND(F1814="Supported",D1814&lt;&gt;"",E1814&lt;&gt;""))),"Yes","No"))</f>
        <v/>
      </c>
    </row>
    <row r="1815" spans="11:11">
      <c r="K1815" s="11">
        <f>IF(OR(A1815="",C1815=""),"",IF(AND(COUNTIF(Responses!$A$6:$A$205,A1815)=1,B1815&lt;&gt;"",COUNTIFS($A$6:$A$2005,A1815,$B$6:$B$2005,B1815)=1,OR(F1815="Supported",F1815="Unsupported",F1815="Contradicted"),OR(G1815="Supported",G1815="Wrong citation",G1815="Missing citation"),OR(H1815="Yes",H1815="No"),I1815&lt;&gt;"",OR(F1815&lt;&gt;"Supported",E1815&lt;&gt;""),OR(G1815&lt;&gt;"Supported",AND(F1815="Supported",D1815&lt;&gt;"",E1815&lt;&gt;""))),"Yes","No"))</f>
        <v/>
      </c>
    </row>
    <row r="1816" spans="11:11">
      <c r="K1816" s="11">
        <f>IF(OR(A1816="",C1816=""),"",IF(AND(COUNTIF(Responses!$A$6:$A$205,A1816)=1,B1816&lt;&gt;"",COUNTIFS($A$6:$A$2005,A1816,$B$6:$B$2005,B1816)=1,OR(F1816="Supported",F1816="Unsupported",F1816="Contradicted"),OR(G1816="Supported",G1816="Wrong citation",G1816="Missing citation"),OR(H1816="Yes",H1816="No"),I1816&lt;&gt;"",OR(F1816&lt;&gt;"Supported",E1816&lt;&gt;""),OR(G1816&lt;&gt;"Supported",AND(F1816="Supported",D1816&lt;&gt;"",E1816&lt;&gt;""))),"Yes","No"))</f>
        <v/>
      </c>
    </row>
    <row r="1817" spans="11:11">
      <c r="K1817" s="11">
        <f>IF(OR(A1817="",C1817=""),"",IF(AND(COUNTIF(Responses!$A$6:$A$205,A1817)=1,B1817&lt;&gt;"",COUNTIFS($A$6:$A$2005,A1817,$B$6:$B$2005,B1817)=1,OR(F1817="Supported",F1817="Unsupported",F1817="Contradicted"),OR(G1817="Supported",G1817="Wrong citation",G1817="Missing citation"),OR(H1817="Yes",H1817="No"),I1817&lt;&gt;"",OR(F1817&lt;&gt;"Supported",E1817&lt;&gt;""),OR(G1817&lt;&gt;"Supported",AND(F1817="Supported",D1817&lt;&gt;"",E1817&lt;&gt;""))),"Yes","No"))</f>
        <v/>
      </c>
    </row>
    <row r="1818" spans="11:11">
      <c r="K1818" s="11">
        <f>IF(OR(A1818="",C1818=""),"",IF(AND(COUNTIF(Responses!$A$6:$A$205,A1818)=1,B1818&lt;&gt;"",COUNTIFS($A$6:$A$2005,A1818,$B$6:$B$2005,B1818)=1,OR(F1818="Supported",F1818="Unsupported",F1818="Contradicted"),OR(G1818="Supported",G1818="Wrong citation",G1818="Missing citation"),OR(H1818="Yes",H1818="No"),I1818&lt;&gt;"",OR(F1818&lt;&gt;"Supported",E1818&lt;&gt;""),OR(G1818&lt;&gt;"Supported",AND(F1818="Supported",D1818&lt;&gt;"",E1818&lt;&gt;""))),"Yes","No"))</f>
        <v/>
      </c>
    </row>
    <row r="1819" spans="11:11">
      <c r="K1819" s="11">
        <f>IF(OR(A1819="",C1819=""),"",IF(AND(COUNTIF(Responses!$A$6:$A$205,A1819)=1,B1819&lt;&gt;"",COUNTIFS($A$6:$A$2005,A1819,$B$6:$B$2005,B1819)=1,OR(F1819="Supported",F1819="Unsupported",F1819="Contradicted"),OR(G1819="Supported",G1819="Wrong citation",G1819="Missing citation"),OR(H1819="Yes",H1819="No"),I1819&lt;&gt;"",OR(F1819&lt;&gt;"Supported",E1819&lt;&gt;""),OR(G1819&lt;&gt;"Supported",AND(F1819="Supported",D1819&lt;&gt;"",E1819&lt;&gt;""))),"Yes","No"))</f>
        <v/>
      </c>
    </row>
    <row r="1820" spans="11:11">
      <c r="K1820" s="11">
        <f>IF(OR(A1820="",C1820=""),"",IF(AND(COUNTIF(Responses!$A$6:$A$205,A1820)=1,B1820&lt;&gt;"",COUNTIFS($A$6:$A$2005,A1820,$B$6:$B$2005,B1820)=1,OR(F1820="Supported",F1820="Unsupported",F1820="Contradicted"),OR(G1820="Supported",G1820="Wrong citation",G1820="Missing citation"),OR(H1820="Yes",H1820="No"),I1820&lt;&gt;"",OR(F1820&lt;&gt;"Supported",E1820&lt;&gt;""),OR(G1820&lt;&gt;"Supported",AND(F1820="Supported",D1820&lt;&gt;"",E1820&lt;&gt;""))),"Yes","No"))</f>
        <v/>
      </c>
    </row>
    <row r="1821" spans="11:11">
      <c r="K1821" s="11">
        <f>IF(OR(A1821="",C1821=""),"",IF(AND(COUNTIF(Responses!$A$6:$A$205,A1821)=1,B1821&lt;&gt;"",COUNTIFS($A$6:$A$2005,A1821,$B$6:$B$2005,B1821)=1,OR(F1821="Supported",F1821="Unsupported",F1821="Contradicted"),OR(G1821="Supported",G1821="Wrong citation",G1821="Missing citation"),OR(H1821="Yes",H1821="No"),I1821&lt;&gt;"",OR(F1821&lt;&gt;"Supported",E1821&lt;&gt;""),OR(G1821&lt;&gt;"Supported",AND(F1821="Supported",D1821&lt;&gt;"",E1821&lt;&gt;""))),"Yes","No"))</f>
        <v/>
      </c>
    </row>
    <row r="1822" spans="11:11">
      <c r="K1822" s="11">
        <f>IF(OR(A1822="",C1822=""),"",IF(AND(COUNTIF(Responses!$A$6:$A$205,A1822)=1,B1822&lt;&gt;"",COUNTIFS($A$6:$A$2005,A1822,$B$6:$B$2005,B1822)=1,OR(F1822="Supported",F1822="Unsupported",F1822="Contradicted"),OR(G1822="Supported",G1822="Wrong citation",G1822="Missing citation"),OR(H1822="Yes",H1822="No"),I1822&lt;&gt;"",OR(F1822&lt;&gt;"Supported",E1822&lt;&gt;""),OR(G1822&lt;&gt;"Supported",AND(F1822="Supported",D1822&lt;&gt;"",E1822&lt;&gt;""))),"Yes","No"))</f>
        <v/>
      </c>
    </row>
    <row r="1823" spans="11:11">
      <c r="K1823" s="11">
        <f>IF(OR(A1823="",C1823=""),"",IF(AND(COUNTIF(Responses!$A$6:$A$205,A1823)=1,B1823&lt;&gt;"",COUNTIFS($A$6:$A$2005,A1823,$B$6:$B$2005,B1823)=1,OR(F1823="Supported",F1823="Unsupported",F1823="Contradicted"),OR(G1823="Supported",G1823="Wrong citation",G1823="Missing citation"),OR(H1823="Yes",H1823="No"),I1823&lt;&gt;"",OR(F1823&lt;&gt;"Supported",E1823&lt;&gt;""),OR(G1823&lt;&gt;"Supported",AND(F1823="Supported",D1823&lt;&gt;"",E1823&lt;&gt;""))),"Yes","No"))</f>
        <v/>
      </c>
    </row>
    <row r="1824" spans="11:11">
      <c r="K1824" s="11">
        <f>IF(OR(A1824="",C1824=""),"",IF(AND(COUNTIF(Responses!$A$6:$A$205,A1824)=1,B1824&lt;&gt;"",COUNTIFS($A$6:$A$2005,A1824,$B$6:$B$2005,B1824)=1,OR(F1824="Supported",F1824="Unsupported",F1824="Contradicted"),OR(G1824="Supported",G1824="Wrong citation",G1824="Missing citation"),OR(H1824="Yes",H1824="No"),I1824&lt;&gt;"",OR(F1824&lt;&gt;"Supported",E1824&lt;&gt;""),OR(G1824&lt;&gt;"Supported",AND(F1824="Supported",D1824&lt;&gt;"",E1824&lt;&gt;""))),"Yes","No"))</f>
        <v/>
      </c>
    </row>
    <row r="1825" spans="11:11">
      <c r="K1825" s="11">
        <f>IF(OR(A1825="",C1825=""),"",IF(AND(COUNTIF(Responses!$A$6:$A$205,A1825)=1,B1825&lt;&gt;"",COUNTIFS($A$6:$A$2005,A1825,$B$6:$B$2005,B1825)=1,OR(F1825="Supported",F1825="Unsupported",F1825="Contradicted"),OR(G1825="Supported",G1825="Wrong citation",G1825="Missing citation"),OR(H1825="Yes",H1825="No"),I1825&lt;&gt;"",OR(F1825&lt;&gt;"Supported",E1825&lt;&gt;""),OR(G1825&lt;&gt;"Supported",AND(F1825="Supported",D1825&lt;&gt;"",E1825&lt;&gt;""))),"Yes","No"))</f>
        <v/>
      </c>
    </row>
    <row r="1826" spans="11:11">
      <c r="K1826" s="11">
        <f>IF(OR(A1826="",C1826=""),"",IF(AND(COUNTIF(Responses!$A$6:$A$205,A1826)=1,B1826&lt;&gt;"",COUNTIFS($A$6:$A$2005,A1826,$B$6:$B$2005,B1826)=1,OR(F1826="Supported",F1826="Unsupported",F1826="Contradicted"),OR(G1826="Supported",G1826="Wrong citation",G1826="Missing citation"),OR(H1826="Yes",H1826="No"),I1826&lt;&gt;"",OR(F1826&lt;&gt;"Supported",E1826&lt;&gt;""),OR(G1826&lt;&gt;"Supported",AND(F1826="Supported",D1826&lt;&gt;"",E1826&lt;&gt;""))),"Yes","No"))</f>
        <v/>
      </c>
    </row>
    <row r="1827" spans="11:11">
      <c r="K1827" s="11">
        <f>IF(OR(A1827="",C1827=""),"",IF(AND(COUNTIF(Responses!$A$6:$A$205,A1827)=1,B1827&lt;&gt;"",COUNTIFS($A$6:$A$2005,A1827,$B$6:$B$2005,B1827)=1,OR(F1827="Supported",F1827="Unsupported",F1827="Contradicted"),OR(G1827="Supported",G1827="Wrong citation",G1827="Missing citation"),OR(H1827="Yes",H1827="No"),I1827&lt;&gt;"",OR(F1827&lt;&gt;"Supported",E1827&lt;&gt;""),OR(G1827&lt;&gt;"Supported",AND(F1827="Supported",D1827&lt;&gt;"",E1827&lt;&gt;""))),"Yes","No"))</f>
        <v/>
      </c>
    </row>
    <row r="1828" spans="11:11">
      <c r="K1828" s="11">
        <f>IF(OR(A1828="",C1828=""),"",IF(AND(COUNTIF(Responses!$A$6:$A$205,A1828)=1,B1828&lt;&gt;"",COUNTIFS($A$6:$A$2005,A1828,$B$6:$B$2005,B1828)=1,OR(F1828="Supported",F1828="Unsupported",F1828="Contradicted"),OR(G1828="Supported",G1828="Wrong citation",G1828="Missing citation"),OR(H1828="Yes",H1828="No"),I1828&lt;&gt;"",OR(F1828&lt;&gt;"Supported",E1828&lt;&gt;""),OR(G1828&lt;&gt;"Supported",AND(F1828="Supported",D1828&lt;&gt;"",E1828&lt;&gt;""))),"Yes","No"))</f>
        <v/>
      </c>
    </row>
    <row r="1829" spans="11:11">
      <c r="K1829" s="11">
        <f>IF(OR(A1829="",C1829=""),"",IF(AND(COUNTIF(Responses!$A$6:$A$205,A1829)=1,B1829&lt;&gt;"",COUNTIFS($A$6:$A$2005,A1829,$B$6:$B$2005,B1829)=1,OR(F1829="Supported",F1829="Unsupported",F1829="Contradicted"),OR(G1829="Supported",G1829="Wrong citation",G1829="Missing citation"),OR(H1829="Yes",H1829="No"),I1829&lt;&gt;"",OR(F1829&lt;&gt;"Supported",E1829&lt;&gt;""),OR(G1829&lt;&gt;"Supported",AND(F1829="Supported",D1829&lt;&gt;"",E1829&lt;&gt;""))),"Yes","No"))</f>
        <v/>
      </c>
    </row>
    <row r="1830" spans="11:11">
      <c r="K1830" s="11">
        <f>IF(OR(A1830="",C1830=""),"",IF(AND(COUNTIF(Responses!$A$6:$A$205,A1830)=1,B1830&lt;&gt;"",COUNTIFS($A$6:$A$2005,A1830,$B$6:$B$2005,B1830)=1,OR(F1830="Supported",F1830="Unsupported",F1830="Contradicted"),OR(G1830="Supported",G1830="Wrong citation",G1830="Missing citation"),OR(H1830="Yes",H1830="No"),I1830&lt;&gt;"",OR(F1830&lt;&gt;"Supported",E1830&lt;&gt;""),OR(G1830&lt;&gt;"Supported",AND(F1830="Supported",D1830&lt;&gt;"",E1830&lt;&gt;""))),"Yes","No"))</f>
        <v/>
      </c>
    </row>
    <row r="1831" spans="11:11">
      <c r="K1831" s="11">
        <f>IF(OR(A1831="",C1831=""),"",IF(AND(COUNTIF(Responses!$A$6:$A$205,A1831)=1,B1831&lt;&gt;"",COUNTIFS($A$6:$A$2005,A1831,$B$6:$B$2005,B1831)=1,OR(F1831="Supported",F1831="Unsupported",F1831="Contradicted"),OR(G1831="Supported",G1831="Wrong citation",G1831="Missing citation"),OR(H1831="Yes",H1831="No"),I1831&lt;&gt;"",OR(F1831&lt;&gt;"Supported",E1831&lt;&gt;""),OR(G1831&lt;&gt;"Supported",AND(F1831="Supported",D1831&lt;&gt;"",E1831&lt;&gt;""))),"Yes","No"))</f>
        <v/>
      </c>
    </row>
    <row r="1832" spans="11:11">
      <c r="K1832" s="11">
        <f>IF(OR(A1832="",C1832=""),"",IF(AND(COUNTIF(Responses!$A$6:$A$205,A1832)=1,B1832&lt;&gt;"",COUNTIFS($A$6:$A$2005,A1832,$B$6:$B$2005,B1832)=1,OR(F1832="Supported",F1832="Unsupported",F1832="Contradicted"),OR(G1832="Supported",G1832="Wrong citation",G1832="Missing citation"),OR(H1832="Yes",H1832="No"),I1832&lt;&gt;"",OR(F1832&lt;&gt;"Supported",E1832&lt;&gt;""),OR(G1832&lt;&gt;"Supported",AND(F1832="Supported",D1832&lt;&gt;"",E1832&lt;&gt;""))),"Yes","No"))</f>
        <v/>
      </c>
    </row>
    <row r="1833" spans="11:11">
      <c r="K1833" s="11">
        <f>IF(OR(A1833="",C1833=""),"",IF(AND(COUNTIF(Responses!$A$6:$A$205,A1833)=1,B1833&lt;&gt;"",COUNTIFS($A$6:$A$2005,A1833,$B$6:$B$2005,B1833)=1,OR(F1833="Supported",F1833="Unsupported",F1833="Contradicted"),OR(G1833="Supported",G1833="Wrong citation",G1833="Missing citation"),OR(H1833="Yes",H1833="No"),I1833&lt;&gt;"",OR(F1833&lt;&gt;"Supported",E1833&lt;&gt;""),OR(G1833&lt;&gt;"Supported",AND(F1833="Supported",D1833&lt;&gt;"",E1833&lt;&gt;""))),"Yes","No"))</f>
        <v/>
      </c>
    </row>
    <row r="1834" spans="11:11">
      <c r="K1834" s="11">
        <f>IF(OR(A1834="",C1834=""),"",IF(AND(COUNTIF(Responses!$A$6:$A$205,A1834)=1,B1834&lt;&gt;"",COUNTIFS($A$6:$A$2005,A1834,$B$6:$B$2005,B1834)=1,OR(F1834="Supported",F1834="Unsupported",F1834="Contradicted"),OR(G1834="Supported",G1834="Wrong citation",G1834="Missing citation"),OR(H1834="Yes",H1834="No"),I1834&lt;&gt;"",OR(F1834&lt;&gt;"Supported",E1834&lt;&gt;""),OR(G1834&lt;&gt;"Supported",AND(F1834="Supported",D1834&lt;&gt;"",E1834&lt;&gt;""))),"Yes","No"))</f>
        <v/>
      </c>
    </row>
    <row r="1835" spans="11:11">
      <c r="K1835" s="11">
        <f>IF(OR(A1835="",C1835=""),"",IF(AND(COUNTIF(Responses!$A$6:$A$205,A1835)=1,B1835&lt;&gt;"",COUNTIFS($A$6:$A$2005,A1835,$B$6:$B$2005,B1835)=1,OR(F1835="Supported",F1835="Unsupported",F1835="Contradicted"),OR(G1835="Supported",G1835="Wrong citation",G1835="Missing citation"),OR(H1835="Yes",H1835="No"),I1835&lt;&gt;"",OR(F1835&lt;&gt;"Supported",E1835&lt;&gt;""),OR(G1835&lt;&gt;"Supported",AND(F1835="Supported",D1835&lt;&gt;"",E1835&lt;&gt;""))),"Yes","No"))</f>
        <v/>
      </c>
    </row>
    <row r="1836" spans="11:11">
      <c r="K1836" s="11">
        <f>IF(OR(A1836="",C1836=""),"",IF(AND(COUNTIF(Responses!$A$6:$A$205,A1836)=1,B1836&lt;&gt;"",COUNTIFS($A$6:$A$2005,A1836,$B$6:$B$2005,B1836)=1,OR(F1836="Supported",F1836="Unsupported",F1836="Contradicted"),OR(G1836="Supported",G1836="Wrong citation",G1836="Missing citation"),OR(H1836="Yes",H1836="No"),I1836&lt;&gt;"",OR(F1836&lt;&gt;"Supported",E1836&lt;&gt;""),OR(G1836&lt;&gt;"Supported",AND(F1836="Supported",D1836&lt;&gt;"",E1836&lt;&gt;""))),"Yes","No"))</f>
        <v/>
      </c>
    </row>
    <row r="1837" spans="11:11">
      <c r="K1837" s="11">
        <f>IF(OR(A1837="",C1837=""),"",IF(AND(COUNTIF(Responses!$A$6:$A$205,A1837)=1,B1837&lt;&gt;"",COUNTIFS($A$6:$A$2005,A1837,$B$6:$B$2005,B1837)=1,OR(F1837="Supported",F1837="Unsupported",F1837="Contradicted"),OR(G1837="Supported",G1837="Wrong citation",G1837="Missing citation"),OR(H1837="Yes",H1837="No"),I1837&lt;&gt;"",OR(F1837&lt;&gt;"Supported",E1837&lt;&gt;""),OR(G1837&lt;&gt;"Supported",AND(F1837="Supported",D1837&lt;&gt;"",E1837&lt;&gt;""))),"Yes","No"))</f>
        <v/>
      </c>
    </row>
    <row r="1838" spans="11:11">
      <c r="K1838" s="11">
        <f>IF(OR(A1838="",C1838=""),"",IF(AND(COUNTIF(Responses!$A$6:$A$205,A1838)=1,B1838&lt;&gt;"",COUNTIFS($A$6:$A$2005,A1838,$B$6:$B$2005,B1838)=1,OR(F1838="Supported",F1838="Unsupported",F1838="Contradicted"),OR(G1838="Supported",G1838="Wrong citation",G1838="Missing citation"),OR(H1838="Yes",H1838="No"),I1838&lt;&gt;"",OR(F1838&lt;&gt;"Supported",E1838&lt;&gt;""),OR(G1838&lt;&gt;"Supported",AND(F1838="Supported",D1838&lt;&gt;"",E1838&lt;&gt;""))),"Yes","No"))</f>
        <v/>
      </c>
    </row>
    <row r="1839" spans="11:11">
      <c r="K1839" s="11">
        <f>IF(OR(A1839="",C1839=""),"",IF(AND(COUNTIF(Responses!$A$6:$A$205,A1839)=1,B1839&lt;&gt;"",COUNTIFS($A$6:$A$2005,A1839,$B$6:$B$2005,B1839)=1,OR(F1839="Supported",F1839="Unsupported",F1839="Contradicted"),OR(G1839="Supported",G1839="Wrong citation",G1839="Missing citation"),OR(H1839="Yes",H1839="No"),I1839&lt;&gt;"",OR(F1839&lt;&gt;"Supported",E1839&lt;&gt;""),OR(G1839&lt;&gt;"Supported",AND(F1839="Supported",D1839&lt;&gt;"",E1839&lt;&gt;""))),"Yes","No"))</f>
        <v/>
      </c>
    </row>
    <row r="1840" spans="11:11">
      <c r="K1840" s="11">
        <f>IF(OR(A1840="",C1840=""),"",IF(AND(COUNTIF(Responses!$A$6:$A$205,A1840)=1,B1840&lt;&gt;"",COUNTIFS($A$6:$A$2005,A1840,$B$6:$B$2005,B1840)=1,OR(F1840="Supported",F1840="Unsupported",F1840="Contradicted"),OR(G1840="Supported",G1840="Wrong citation",G1840="Missing citation"),OR(H1840="Yes",H1840="No"),I1840&lt;&gt;"",OR(F1840&lt;&gt;"Supported",E1840&lt;&gt;""),OR(G1840&lt;&gt;"Supported",AND(F1840="Supported",D1840&lt;&gt;"",E1840&lt;&gt;""))),"Yes","No"))</f>
        <v/>
      </c>
    </row>
    <row r="1841" spans="11:11">
      <c r="K1841" s="11">
        <f>IF(OR(A1841="",C1841=""),"",IF(AND(COUNTIF(Responses!$A$6:$A$205,A1841)=1,B1841&lt;&gt;"",COUNTIFS($A$6:$A$2005,A1841,$B$6:$B$2005,B1841)=1,OR(F1841="Supported",F1841="Unsupported",F1841="Contradicted"),OR(G1841="Supported",G1841="Wrong citation",G1841="Missing citation"),OR(H1841="Yes",H1841="No"),I1841&lt;&gt;"",OR(F1841&lt;&gt;"Supported",E1841&lt;&gt;""),OR(G1841&lt;&gt;"Supported",AND(F1841="Supported",D1841&lt;&gt;"",E1841&lt;&gt;""))),"Yes","No"))</f>
        <v/>
      </c>
    </row>
    <row r="1842" spans="11:11">
      <c r="K1842" s="11">
        <f>IF(OR(A1842="",C1842=""),"",IF(AND(COUNTIF(Responses!$A$6:$A$205,A1842)=1,B1842&lt;&gt;"",COUNTIFS($A$6:$A$2005,A1842,$B$6:$B$2005,B1842)=1,OR(F1842="Supported",F1842="Unsupported",F1842="Contradicted"),OR(G1842="Supported",G1842="Wrong citation",G1842="Missing citation"),OR(H1842="Yes",H1842="No"),I1842&lt;&gt;"",OR(F1842&lt;&gt;"Supported",E1842&lt;&gt;""),OR(G1842&lt;&gt;"Supported",AND(F1842="Supported",D1842&lt;&gt;"",E1842&lt;&gt;""))),"Yes","No"))</f>
        <v/>
      </c>
    </row>
    <row r="1843" spans="11:11">
      <c r="K1843" s="11">
        <f>IF(OR(A1843="",C1843=""),"",IF(AND(COUNTIF(Responses!$A$6:$A$205,A1843)=1,B1843&lt;&gt;"",COUNTIFS($A$6:$A$2005,A1843,$B$6:$B$2005,B1843)=1,OR(F1843="Supported",F1843="Unsupported",F1843="Contradicted"),OR(G1843="Supported",G1843="Wrong citation",G1843="Missing citation"),OR(H1843="Yes",H1843="No"),I1843&lt;&gt;"",OR(F1843&lt;&gt;"Supported",E1843&lt;&gt;""),OR(G1843&lt;&gt;"Supported",AND(F1843="Supported",D1843&lt;&gt;"",E1843&lt;&gt;""))),"Yes","No"))</f>
        <v/>
      </c>
    </row>
    <row r="1844" spans="11:11">
      <c r="K1844" s="11">
        <f>IF(OR(A1844="",C1844=""),"",IF(AND(COUNTIF(Responses!$A$6:$A$205,A1844)=1,B1844&lt;&gt;"",COUNTIFS($A$6:$A$2005,A1844,$B$6:$B$2005,B1844)=1,OR(F1844="Supported",F1844="Unsupported",F1844="Contradicted"),OR(G1844="Supported",G1844="Wrong citation",G1844="Missing citation"),OR(H1844="Yes",H1844="No"),I1844&lt;&gt;"",OR(F1844&lt;&gt;"Supported",E1844&lt;&gt;""),OR(G1844&lt;&gt;"Supported",AND(F1844="Supported",D1844&lt;&gt;"",E1844&lt;&gt;""))),"Yes","No"))</f>
        <v/>
      </c>
    </row>
    <row r="1845" spans="11:11">
      <c r="K1845" s="11">
        <f>IF(OR(A1845="",C1845=""),"",IF(AND(COUNTIF(Responses!$A$6:$A$205,A1845)=1,B1845&lt;&gt;"",COUNTIFS($A$6:$A$2005,A1845,$B$6:$B$2005,B1845)=1,OR(F1845="Supported",F1845="Unsupported",F1845="Contradicted"),OR(G1845="Supported",G1845="Wrong citation",G1845="Missing citation"),OR(H1845="Yes",H1845="No"),I1845&lt;&gt;"",OR(F1845&lt;&gt;"Supported",E1845&lt;&gt;""),OR(G1845&lt;&gt;"Supported",AND(F1845="Supported",D1845&lt;&gt;"",E1845&lt;&gt;""))),"Yes","No"))</f>
        <v/>
      </c>
    </row>
    <row r="1846" spans="11:11">
      <c r="K1846" s="11">
        <f>IF(OR(A1846="",C1846=""),"",IF(AND(COUNTIF(Responses!$A$6:$A$205,A1846)=1,B1846&lt;&gt;"",COUNTIFS($A$6:$A$2005,A1846,$B$6:$B$2005,B1846)=1,OR(F1846="Supported",F1846="Unsupported",F1846="Contradicted"),OR(G1846="Supported",G1846="Wrong citation",G1846="Missing citation"),OR(H1846="Yes",H1846="No"),I1846&lt;&gt;"",OR(F1846&lt;&gt;"Supported",E1846&lt;&gt;""),OR(G1846&lt;&gt;"Supported",AND(F1846="Supported",D1846&lt;&gt;"",E1846&lt;&gt;""))),"Yes","No"))</f>
        <v/>
      </c>
    </row>
    <row r="1847" spans="11:11">
      <c r="K1847" s="11">
        <f>IF(OR(A1847="",C1847=""),"",IF(AND(COUNTIF(Responses!$A$6:$A$205,A1847)=1,B1847&lt;&gt;"",COUNTIFS($A$6:$A$2005,A1847,$B$6:$B$2005,B1847)=1,OR(F1847="Supported",F1847="Unsupported",F1847="Contradicted"),OR(G1847="Supported",G1847="Wrong citation",G1847="Missing citation"),OR(H1847="Yes",H1847="No"),I1847&lt;&gt;"",OR(F1847&lt;&gt;"Supported",E1847&lt;&gt;""),OR(G1847&lt;&gt;"Supported",AND(F1847="Supported",D1847&lt;&gt;"",E1847&lt;&gt;""))),"Yes","No"))</f>
        <v/>
      </c>
    </row>
    <row r="1848" spans="11:11">
      <c r="K1848" s="11">
        <f>IF(OR(A1848="",C1848=""),"",IF(AND(COUNTIF(Responses!$A$6:$A$205,A1848)=1,B1848&lt;&gt;"",COUNTIFS($A$6:$A$2005,A1848,$B$6:$B$2005,B1848)=1,OR(F1848="Supported",F1848="Unsupported",F1848="Contradicted"),OR(G1848="Supported",G1848="Wrong citation",G1848="Missing citation"),OR(H1848="Yes",H1848="No"),I1848&lt;&gt;"",OR(F1848&lt;&gt;"Supported",E1848&lt;&gt;""),OR(G1848&lt;&gt;"Supported",AND(F1848="Supported",D1848&lt;&gt;"",E1848&lt;&gt;""))),"Yes","No"))</f>
        <v/>
      </c>
    </row>
    <row r="1849" spans="11:11">
      <c r="K1849" s="11">
        <f>IF(OR(A1849="",C1849=""),"",IF(AND(COUNTIF(Responses!$A$6:$A$205,A1849)=1,B1849&lt;&gt;"",COUNTIFS($A$6:$A$2005,A1849,$B$6:$B$2005,B1849)=1,OR(F1849="Supported",F1849="Unsupported",F1849="Contradicted"),OR(G1849="Supported",G1849="Wrong citation",G1849="Missing citation"),OR(H1849="Yes",H1849="No"),I1849&lt;&gt;"",OR(F1849&lt;&gt;"Supported",E1849&lt;&gt;""),OR(G1849&lt;&gt;"Supported",AND(F1849="Supported",D1849&lt;&gt;"",E1849&lt;&gt;""))),"Yes","No"))</f>
        <v/>
      </c>
    </row>
    <row r="1850" spans="11:11">
      <c r="K1850" s="11">
        <f>IF(OR(A1850="",C1850=""),"",IF(AND(COUNTIF(Responses!$A$6:$A$205,A1850)=1,B1850&lt;&gt;"",COUNTIFS($A$6:$A$2005,A1850,$B$6:$B$2005,B1850)=1,OR(F1850="Supported",F1850="Unsupported",F1850="Contradicted"),OR(G1850="Supported",G1850="Wrong citation",G1850="Missing citation"),OR(H1850="Yes",H1850="No"),I1850&lt;&gt;"",OR(F1850&lt;&gt;"Supported",E1850&lt;&gt;""),OR(G1850&lt;&gt;"Supported",AND(F1850="Supported",D1850&lt;&gt;"",E1850&lt;&gt;""))),"Yes","No"))</f>
        <v/>
      </c>
    </row>
    <row r="1851" spans="11:11">
      <c r="K1851" s="11">
        <f>IF(OR(A1851="",C1851=""),"",IF(AND(COUNTIF(Responses!$A$6:$A$205,A1851)=1,B1851&lt;&gt;"",COUNTIFS($A$6:$A$2005,A1851,$B$6:$B$2005,B1851)=1,OR(F1851="Supported",F1851="Unsupported",F1851="Contradicted"),OR(G1851="Supported",G1851="Wrong citation",G1851="Missing citation"),OR(H1851="Yes",H1851="No"),I1851&lt;&gt;"",OR(F1851&lt;&gt;"Supported",E1851&lt;&gt;""),OR(G1851&lt;&gt;"Supported",AND(F1851="Supported",D1851&lt;&gt;"",E1851&lt;&gt;""))),"Yes","No"))</f>
        <v/>
      </c>
    </row>
    <row r="1852" spans="11:11">
      <c r="K1852" s="11">
        <f>IF(OR(A1852="",C1852=""),"",IF(AND(COUNTIF(Responses!$A$6:$A$205,A1852)=1,B1852&lt;&gt;"",COUNTIFS($A$6:$A$2005,A1852,$B$6:$B$2005,B1852)=1,OR(F1852="Supported",F1852="Unsupported",F1852="Contradicted"),OR(G1852="Supported",G1852="Wrong citation",G1852="Missing citation"),OR(H1852="Yes",H1852="No"),I1852&lt;&gt;"",OR(F1852&lt;&gt;"Supported",E1852&lt;&gt;""),OR(G1852&lt;&gt;"Supported",AND(F1852="Supported",D1852&lt;&gt;"",E1852&lt;&gt;""))),"Yes","No"))</f>
        <v/>
      </c>
    </row>
    <row r="1853" spans="11:11">
      <c r="K1853" s="11">
        <f>IF(OR(A1853="",C1853=""),"",IF(AND(COUNTIF(Responses!$A$6:$A$205,A1853)=1,B1853&lt;&gt;"",COUNTIFS($A$6:$A$2005,A1853,$B$6:$B$2005,B1853)=1,OR(F1853="Supported",F1853="Unsupported",F1853="Contradicted"),OR(G1853="Supported",G1853="Wrong citation",G1853="Missing citation"),OR(H1853="Yes",H1853="No"),I1853&lt;&gt;"",OR(F1853&lt;&gt;"Supported",E1853&lt;&gt;""),OR(G1853&lt;&gt;"Supported",AND(F1853="Supported",D1853&lt;&gt;"",E1853&lt;&gt;""))),"Yes","No"))</f>
        <v/>
      </c>
    </row>
    <row r="1854" spans="11:11">
      <c r="K1854" s="11">
        <f>IF(OR(A1854="",C1854=""),"",IF(AND(COUNTIF(Responses!$A$6:$A$205,A1854)=1,B1854&lt;&gt;"",COUNTIFS($A$6:$A$2005,A1854,$B$6:$B$2005,B1854)=1,OR(F1854="Supported",F1854="Unsupported",F1854="Contradicted"),OR(G1854="Supported",G1854="Wrong citation",G1854="Missing citation"),OR(H1854="Yes",H1854="No"),I1854&lt;&gt;"",OR(F1854&lt;&gt;"Supported",E1854&lt;&gt;""),OR(G1854&lt;&gt;"Supported",AND(F1854="Supported",D1854&lt;&gt;"",E1854&lt;&gt;""))),"Yes","No"))</f>
        <v/>
      </c>
    </row>
    <row r="1855" spans="11:11">
      <c r="K1855" s="11">
        <f>IF(OR(A1855="",C1855=""),"",IF(AND(COUNTIF(Responses!$A$6:$A$205,A1855)=1,B1855&lt;&gt;"",COUNTIFS($A$6:$A$2005,A1855,$B$6:$B$2005,B1855)=1,OR(F1855="Supported",F1855="Unsupported",F1855="Contradicted"),OR(G1855="Supported",G1855="Wrong citation",G1855="Missing citation"),OR(H1855="Yes",H1855="No"),I1855&lt;&gt;"",OR(F1855&lt;&gt;"Supported",E1855&lt;&gt;""),OR(G1855&lt;&gt;"Supported",AND(F1855="Supported",D1855&lt;&gt;"",E1855&lt;&gt;""))),"Yes","No"))</f>
        <v/>
      </c>
    </row>
    <row r="1856" spans="11:11">
      <c r="K1856" s="11">
        <f>IF(OR(A1856="",C1856=""),"",IF(AND(COUNTIF(Responses!$A$6:$A$205,A1856)=1,B1856&lt;&gt;"",COUNTIFS($A$6:$A$2005,A1856,$B$6:$B$2005,B1856)=1,OR(F1856="Supported",F1856="Unsupported",F1856="Contradicted"),OR(G1856="Supported",G1856="Wrong citation",G1856="Missing citation"),OR(H1856="Yes",H1856="No"),I1856&lt;&gt;"",OR(F1856&lt;&gt;"Supported",E1856&lt;&gt;""),OR(G1856&lt;&gt;"Supported",AND(F1856="Supported",D1856&lt;&gt;"",E1856&lt;&gt;""))),"Yes","No"))</f>
        <v/>
      </c>
    </row>
    <row r="1857" spans="11:11">
      <c r="K1857" s="11">
        <f>IF(OR(A1857="",C1857=""),"",IF(AND(COUNTIF(Responses!$A$6:$A$205,A1857)=1,B1857&lt;&gt;"",COUNTIFS($A$6:$A$2005,A1857,$B$6:$B$2005,B1857)=1,OR(F1857="Supported",F1857="Unsupported",F1857="Contradicted"),OR(G1857="Supported",G1857="Wrong citation",G1857="Missing citation"),OR(H1857="Yes",H1857="No"),I1857&lt;&gt;"",OR(F1857&lt;&gt;"Supported",E1857&lt;&gt;""),OR(G1857&lt;&gt;"Supported",AND(F1857="Supported",D1857&lt;&gt;"",E1857&lt;&gt;""))),"Yes","No"))</f>
        <v/>
      </c>
    </row>
    <row r="1858" spans="11:11">
      <c r="K1858" s="11">
        <f>IF(OR(A1858="",C1858=""),"",IF(AND(COUNTIF(Responses!$A$6:$A$205,A1858)=1,B1858&lt;&gt;"",COUNTIFS($A$6:$A$2005,A1858,$B$6:$B$2005,B1858)=1,OR(F1858="Supported",F1858="Unsupported",F1858="Contradicted"),OR(G1858="Supported",G1858="Wrong citation",G1858="Missing citation"),OR(H1858="Yes",H1858="No"),I1858&lt;&gt;"",OR(F1858&lt;&gt;"Supported",E1858&lt;&gt;""),OR(G1858&lt;&gt;"Supported",AND(F1858="Supported",D1858&lt;&gt;"",E1858&lt;&gt;""))),"Yes","No"))</f>
        <v/>
      </c>
    </row>
    <row r="1859" spans="11:11">
      <c r="K1859" s="11">
        <f>IF(OR(A1859="",C1859=""),"",IF(AND(COUNTIF(Responses!$A$6:$A$205,A1859)=1,B1859&lt;&gt;"",COUNTIFS($A$6:$A$2005,A1859,$B$6:$B$2005,B1859)=1,OR(F1859="Supported",F1859="Unsupported",F1859="Contradicted"),OR(G1859="Supported",G1859="Wrong citation",G1859="Missing citation"),OR(H1859="Yes",H1859="No"),I1859&lt;&gt;"",OR(F1859&lt;&gt;"Supported",E1859&lt;&gt;""),OR(G1859&lt;&gt;"Supported",AND(F1859="Supported",D1859&lt;&gt;"",E1859&lt;&gt;""))),"Yes","No"))</f>
        <v/>
      </c>
    </row>
    <row r="1860" spans="11:11">
      <c r="K1860" s="11">
        <f>IF(OR(A1860="",C1860=""),"",IF(AND(COUNTIF(Responses!$A$6:$A$205,A1860)=1,B1860&lt;&gt;"",COUNTIFS($A$6:$A$2005,A1860,$B$6:$B$2005,B1860)=1,OR(F1860="Supported",F1860="Unsupported",F1860="Contradicted"),OR(G1860="Supported",G1860="Wrong citation",G1860="Missing citation"),OR(H1860="Yes",H1860="No"),I1860&lt;&gt;"",OR(F1860&lt;&gt;"Supported",E1860&lt;&gt;""),OR(G1860&lt;&gt;"Supported",AND(F1860="Supported",D1860&lt;&gt;"",E1860&lt;&gt;""))),"Yes","No"))</f>
        <v/>
      </c>
    </row>
    <row r="1861" spans="11:11">
      <c r="K1861" s="11">
        <f>IF(OR(A1861="",C1861=""),"",IF(AND(COUNTIF(Responses!$A$6:$A$205,A1861)=1,B1861&lt;&gt;"",COUNTIFS($A$6:$A$2005,A1861,$B$6:$B$2005,B1861)=1,OR(F1861="Supported",F1861="Unsupported",F1861="Contradicted"),OR(G1861="Supported",G1861="Wrong citation",G1861="Missing citation"),OR(H1861="Yes",H1861="No"),I1861&lt;&gt;"",OR(F1861&lt;&gt;"Supported",E1861&lt;&gt;""),OR(G1861&lt;&gt;"Supported",AND(F1861="Supported",D1861&lt;&gt;"",E1861&lt;&gt;""))),"Yes","No"))</f>
        <v/>
      </c>
    </row>
    <row r="1862" spans="11:11">
      <c r="K1862" s="11">
        <f>IF(OR(A1862="",C1862=""),"",IF(AND(COUNTIF(Responses!$A$6:$A$205,A1862)=1,B1862&lt;&gt;"",COUNTIFS($A$6:$A$2005,A1862,$B$6:$B$2005,B1862)=1,OR(F1862="Supported",F1862="Unsupported",F1862="Contradicted"),OR(G1862="Supported",G1862="Wrong citation",G1862="Missing citation"),OR(H1862="Yes",H1862="No"),I1862&lt;&gt;"",OR(F1862&lt;&gt;"Supported",E1862&lt;&gt;""),OR(G1862&lt;&gt;"Supported",AND(F1862="Supported",D1862&lt;&gt;"",E1862&lt;&gt;""))),"Yes","No"))</f>
        <v/>
      </c>
    </row>
    <row r="1863" spans="11:11">
      <c r="K1863" s="11">
        <f>IF(OR(A1863="",C1863=""),"",IF(AND(COUNTIF(Responses!$A$6:$A$205,A1863)=1,B1863&lt;&gt;"",COUNTIFS($A$6:$A$2005,A1863,$B$6:$B$2005,B1863)=1,OR(F1863="Supported",F1863="Unsupported",F1863="Contradicted"),OR(G1863="Supported",G1863="Wrong citation",G1863="Missing citation"),OR(H1863="Yes",H1863="No"),I1863&lt;&gt;"",OR(F1863&lt;&gt;"Supported",E1863&lt;&gt;""),OR(G1863&lt;&gt;"Supported",AND(F1863="Supported",D1863&lt;&gt;"",E1863&lt;&gt;""))),"Yes","No"))</f>
        <v/>
      </c>
    </row>
    <row r="1864" spans="11:11">
      <c r="K1864" s="11">
        <f>IF(OR(A1864="",C1864=""),"",IF(AND(COUNTIF(Responses!$A$6:$A$205,A1864)=1,B1864&lt;&gt;"",COUNTIFS($A$6:$A$2005,A1864,$B$6:$B$2005,B1864)=1,OR(F1864="Supported",F1864="Unsupported",F1864="Contradicted"),OR(G1864="Supported",G1864="Wrong citation",G1864="Missing citation"),OR(H1864="Yes",H1864="No"),I1864&lt;&gt;"",OR(F1864&lt;&gt;"Supported",E1864&lt;&gt;""),OR(G1864&lt;&gt;"Supported",AND(F1864="Supported",D1864&lt;&gt;"",E1864&lt;&gt;""))),"Yes","No"))</f>
        <v/>
      </c>
    </row>
    <row r="1865" spans="11:11">
      <c r="K1865" s="11">
        <f>IF(OR(A1865="",C1865=""),"",IF(AND(COUNTIF(Responses!$A$6:$A$205,A1865)=1,B1865&lt;&gt;"",COUNTIFS($A$6:$A$2005,A1865,$B$6:$B$2005,B1865)=1,OR(F1865="Supported",F1865="Unsupported",F1865="Contradicted"),OR(G1865="Supported",G1865="Wrong citation",G1865="Missing citation"),OR(H1865="Yes",H1865="No"),I1865&lt;&gt;"",OR(F1865&lt;&gt;"Supported",E1865&lt;&gt;""),OR(G1865&lt;&gt;"Supported",AND(F1865="Supported",D1865&lt;&gt;"",E1865&lt;&gt;""))),"Yes","No"))</f>
        <v/>
      </c>
    </row>
    <row r="1866" spans="11:11">
      <c r="K1866" s="11">
        <f>IF(OR(A1866="",C1866=""),"",IF(AND(COUNTIF(Responses!$A$6:$A$205,A1866)=1,B1866&lt;&gt;"",COUNTIFS($A$6:$A$2005,A1866,$B$6:$B$2005,B1866)=1,OR(F1866="Supported",F1866="Unsupported",F1866="Contradicted"),OR(G1866="Supported",G1866="Wrong citation",G1866="Missing citation"),OR(H1866="Yes",H1866="No"),I1866&lt;&gt;"",OR(F1866&lt;&gt;"Supported",E1866&lt;&gt;""),OR(G1866&lt;&gt;"Supported",AND(F1866="Supported",D1866&lt;&gt;"",E1866&lt;&gt;""))),"Yes","No"))</f>
        <v/>
      </c>
    </row>
    <row r="1867" spans="11:11">
      <c r="K1867" s="11">
        <f>IF(OR(A1867="",C1867=""),"",IF(AND(COUNTIF(Responses!$A$6:$A$205,A1867)=1,B1867&lt;&gt;"",COUNTIFS($A$6:$A$2005,A1867,$B$6:$B$2005,B1867)=1,OR(F1867="Supported",F1867="Unsupported",F1867="Contradicted"),OR(G1867="Supported",G1867="Wrong citation",G1867="Missing citation"),OR(H1867="Yes",H1867="No"),I1867&lt;&gt;"",OR(F1867&lt;&gt;"Supported",E1867&lt;&gt;""),OR(G1867&lt;&gt;"Supported",AND(F1867="Supported",D1867&lt;&gt;"",E1867&lt;&gt;""))),"Yes","No"))</f>
        <v/>
      </c>
    </row>
    <row r="1868" spans="11:11">
      <c r="K1868" s="11">
        <f>IF(OR(A1868="",C1868=""),"",IF(AND(COUNTIF(Responses!$A$6:$A$205,A1868)=1,B1868&lt;&gt;"",COUNTIFS($A$6:$A$2005,A1868,$B$6:$B$2005,B1868)=1,OR(F1868="Supported",F1868="Unsupported",F1868="Contradicted"),OR(G1868="Supported",G1868="Wrong citation",G1868="Missing citation"),OR(H1868="Yes",H1868="No"),I1868&lt;&gt;"",OR(F1868&lt;&gt;"Supported",E1868&lt;&gt;""),OR(G1868&lt;&gt;"Supported",AND(F1868="Supported",D1868&lt;&gt;"",E1868&lt;&gt;""))),"Yes","No"))</f>
        <v/>
      </c>
    </row>
    <row r="1869" spans="11:11">
      <c r="K1869" s="11">
        <f>IF(OR(A1869="",C1869=""),"",IF(AND(COUNTIF(Responses!$A$6:$A$205,A1869)=1,B1869&lt;&gt;"",COUNTIFS($A$6:$A$2005,A1869,$B$6:$B$2005,B1869)=1,OR(F1869="Supported",F1869="Unsupported",F1869="Contradicted"),OR(G1869="Supported",G1869="Wrong citation",G1869="Missing citation"),OR(H1869="Yes",H1869="No"),I1869&lt;&gt;"",OR(F1869&lt;&gt;"Supported",E1869&lt;&gt;""),OR(G1869&lt;&gt;"Supported",AND(F1869="Supported",D1869&lt;&gt;"",E1869&lt;&gt;""))),"Yes","No"))</f>
        <v/>
      </c>
    </row>
    <row r="1870" spans="11:11">
      <c r="K1870" s="11">
        <f>IF(OR(A1870="",C1870=""),"",IF(AND(COUNTIF(Responses!$A$6:$A$205,A1870)=1,B1870&lt;&gt;"",COUNTIFS($A$6:$A$2005,A1870,$B$6:$B$2005,B1870)=1,OR(F1870="Supported",F1870="Unsupported",F1870="Contradicted"),OR(G1870="Supported",G1870="Wrong citation",G1870="Missing citation"),OR(H1870="Yes",H1870="No"),I1870&lt;&gt;"",OR(F1870&lt;&gt;"Supported",E1870&lt;&gt;""),OR(G1870&lt;&gt;"Supported",AND(F1870="Supported",D1870&lt;&gt;"",E1870&lt;&gt;""))),"Yes","No"))</f>
        <v/>
      </c>
    </row>
    <row r="1871" spans="11:11">
      <c r="K1871" s="11">
        <f>IF(OR(A1871="",C1871=""),"",IF(AND(COUNTIF(Responses!$A$6:$A$205,A1871)=1,B1871&lt;&gt;"",COUNTIFS($A$6:$A$2005,A1871,$B$6:$B$2005,B1871)=1,OR(F1871="Supported",F1871="Unsupported",F1871="Contradicted"),OR(G1871="Supported",G1871="Wrong citation",G1871="Missing citation"),OR(H1871="Yes",H1871="No"),I1871&lt;&gt;"",OR(F1871&lt;&gt;"Supported",E1871&lt;&gt;""),OR(G1871&lt;&gt;"Supported",AND(F1871="Supported",D1871&lt;&gt;"",E1871&lt;&gt;""))),"Yes","No"))</f>
        <v/>
      </c>
    </row>
    <row r="1872" spans="11:11">
      <c r="K1872" s="11">
        <f>IF(OR(A1872="",C1872=""),"",IF(AND(COUNTIF(Responses!$A$6:$A$205,A1872)=1,B1872&lt;&gt;"",COUNTIFS($A$6:$A$2005,A1872,$B$6:$B$2005,B1872)=1,OR(F1872="Supported",F1872="Unsupported",F1872="Contradicted"),OR(G1872="Supported",G1872="Wrong citation",G1872="Missing citation"),OR(H1872="Yes",H1872="No"),I1872&lt;&gt;"",OR(F1872&lt;&gt;"Supported",E1872&lt;&gt;""),OR(G1872&lt;&gt;"Supported",AND(F1872="Supported",D1872&lt;&gt;"",E1872&lt;&gt;""))),"Yes","No"))</f>
        <v/>
      </c>
    </row>
    <row r="1873" spans="11:11">
      <c r="K1873" s="11">
        <f>IF(OR(A1873="",C1873=""),"",IF(AND(COUNTIF(Responses!$A$6:$A$205,A1873)=1,B1873&lt;&gt;"",COUNTIFS($A$6:$A$2005,A1873,$B$6:$B$2005,B1873)=1,OR(F1873="Supported",F1873="Unsupported",F1873="Contradicted"),OR(G1873="Supported",G1873="Wrong citation",G1873="Missing citation"),OR(H1873="Yes",H1873="No"),I1873&lt;&gt;"",OR(F1873&lt;&gt;"Supported",E1873&lt;&gt;""),OR(G1873&lt;&gt;"Supported",AND(F1873="Supported",D1873&lt;&gt;"",E1873&lt;&gt;""))),"Yes","No"))</f>
        <v/>
      </c>
    </row>
    <row r="1874" spans="11:11">
      <c r="K1874" s="11">
        <f>IF(OR(A1874="",C1874=""),"",IF(AND(COUNTIF(Responses!$A$6:$A$205,A1874)=1,B1874&lt;&gt;"",COUNTIFS($A$6:$A$2005,A1874,$B$6:$B$2005,B1874)=1,OR(F1874="Supported",F1874="Unsupported",F1874="Contradicted"),OR(G1874="Supported",G1874="Wrong citation",G1874="Missing citation"),OR(H1874="Yes",H1874="No"),I1874&lt;&gt;"",OR(F1874&lt;&gt;"Supported",E1874&lt;&gt;""),OR(G1874&lt;&gt;"Supported",AND(F1874="Supported",D1874&lt;&gt;"",E1874&lt;&gt;""))),"Yes","No"))</f>
        <v/>
      </c>
    </row>
    <row r="1875" spans="11:11">
      <c r="K1875" s="11">
        <f>IF(OR(A1875="",C1875=""),"",IF(AND(COUNTIF(Responses!$A$6:$A$205,A1875)=1,B1875&lt;&gt;"",COUNTIFS($A$6:$A$2005,A1875,$B$6:$B$2005,B1875)=1,OR(F1875="Supported",F1875="Unsupported",F1875="Contradicted"),OR(G1875="Supported",G1875="Wrong citation",G1875="Missing citation"),OR(H1875="Yes",H1875="No"),I1875&lt;&gt;"",OR(F1875&lt;&gt;"Supported",E1875&lt;&gt;""),OR(G1875&lt;&gt;"Supported",AND(F1875="Supported",D1875&lt;&gt;"",E1875&lt;&gt;""))),"Yes","No"))</f>
        <v/>
      </c>
    </row>
    <row r="1876" spans="11:11">
      <c r="K1876" s="11">
        <f>IF(OR(A1876="",C1876=""),"",IF(AND(COUNTIF(Responses!$A$6:$A$205,A1876)=1,B1876&lt;&gt;"",COUNTIFS($A$6:$A$2005,A1876,$B$6:$B$2005,B1876)=1,OR(F1876="Supported",F1876="Unsupported",F1876="Contradicted"),OR(G1876="Supported",G1876="Wrong citation",G1876="Missing citation"),OR(H1876="Yes",H1876="No"),I1876&lt;&gt;"",OR(F1876&lt;&gt;"Supported",E1876&lt;&gt;""),OR(G1876&lt;&gt;"Supported",AND(F1876="Supported",D1876&lt;&gt;"",E1876&lt;&gt;""))),"Yes","No"))</f>
        <v/>
      </c>
    </row>
    <row r="1877" spans="11:11">
      <c r="K1877" s="11">
        <f>IF(OR(A1877="",C1877=""),"",IF(AND(COUNTIF(Responses!$A$6:$A$205,A1877)=1,B1877&lt;&gt;"",COUNTIFS($A$6:$A$2005,A1877,$B$6:$B$2005,B1877)=1,OR(F1877="Supported",F1877="Unsupported",F1877="Contradicted"),OR(G1877="Supported",G1877="Wrong citation",G1877="Missing citation"),OR(H1877="Yes",H1877="No"),I1877&lt;&gt;"",OR(F1877&lt;&gt;"Supported",E1877&lt;&gt;""),OR(G1877&lt;&gt;"Supported",AND(F1877="Supported",D1877&lt;&gt;"",E1877&lt;&gt;""))),"Yes","No"))</f>
        <v/>
      </c>
    </row>
    <row r="1878" spans="11:11">
      <c r="K1878" s="11">
        <f>IF(OR(A1878="",C1878=""),"",IF(AND(COUNTIF(Responses!$A$6:$A$205,A1878)=1,B1878&lt;&gt;"",COUNTIFS($A$6:$A$2005,A1878,$B$6:$B$2005,B1878)=1,OR(F1878="Supported",F1878="Unsupported",F1878="Contradicted"),OR(G1878="Supported",G1878="Wrong citation",G1878="Missing citation"),OR(H1878="Yes",H1878="No"),I1878&lt;&gt;"",OR(F1878&lt;&gt;"Supported",E1878&lt;&gt;""),OR(G1878&lt;&gt;"Supported",AND(F1878="Supported",D1878&lt;&gt;"",E1878&lt;&gt;""))),"Yes","No"))</f>
        <v/>
      </c>
    </row>
    <row r="1879" spans="11:11">
      <c r="K1879" s="11">
        <f>IF(OR(A1879="",C1879=""),"",IF(AND(COUNTIF(Responses!$A$6:$A$205,A1879)=1,B1879&lt;&gt;"",COUNTIFS($A$6:$A$2005,A1879,$B$6:$B$2005,B1879)=1,OR(F1879="Supported",F1879="Unsupported",F1879="Contradicted"),OR(G1879="Supported",G1879="Wrong citation",G1879="Missing citation"),OR(H1879="Yes",H1879="No"),I1879&lt;&gt;"",OR(F1879&lt;&gt;"Supported",E1879&lt;&gt;""),OR(G1879&lt;&gt;"Supported",AND(F1879="Supported",D1879&lt;&gt;"",E1879&lt;&gt;""))),"Yes","No"))</f>
        <v/>
      </c>
    </row>
    <row r="1880" spans="11:11">
      <c r="K1880" s="11">
        <f>IF(OR(A1880="",C1880=""),"",IF(AND(COUNTIF(Responses!$A$6:$A$205,A1880)=1,B1880&lt;&gt;"",COUNTIFS($A$6:$A$2005,A1880,$B$6:$B$2005,B1880)=1,OR(F1880="Supported",F1880="Unsupported",F1880="Contradicted"),OR(G1880="Supported",G1880="Wrong citation",G1880="Missing citation"),OR(H1880="Yes",H1880="No"),I1880&lt;&gt;"",OR(F1880&lt;&gt;"Supported",E1880&lt;&gt;""),OR(G1880&lt;&gt;"Supported",AND(F1880="Supported",D1880&lt;&gt;"",E1880&lt;&gt;""))),"Yes","No"))</f>
        <v/>
      </c>
    </row>
    <row r="1881" spans="11:11">
      <c r="K1881" s="11">
        <f>IF(OR(A1881="",C1881=""),"",IF(AND(COUNTIF(Responses!$A$6:$A$205,A1881)=1,B1881&lt;&gt;"",COUNTIFS($A$6:$A$2005,A1881,$B$6:$B$2005,B1881)=1,OR(F1881="Supported",F1881="Unsupported",F1881="Contradicted"),OR(G1881="Supported",G1881="Wrong citation",G1881="Missing citation"),OR(H1881="Yes",H1881="No"),I1881&lt;&gt;"",OR(F1881&lt;&gt;"Supported",E1881&lt;&gt;""),OR(G1881&lt;&gt;"Supported",AND(F1881="Supported",D1881&lt;&gt;"",E1881&lt;&gt;""))),"Yes","No"))</f>
        <v/>
      </c>
    </row>
    <row r="1882" spans="11:11">
      <c r="K1882" s="11">
        <f>IF(OR(A1882="",C1882=""),"",IF(AND(COUNTIF(Responses!$A$6:$A$205,A1882)=1,B1882&lt;&gt;"",COUNTIFS($A$6:$A$2005,A1882,$B$6:$B$2005,B1882)=1,OR(F1882="Supported",F1882="Unsupported",F1882="Contradicted"),OR(G1882="Supported",G1882="Wrong citation",G1882="Missing citation"),OR(H1882="Yes",H1882="No"),I1882&lt;&gt;"",OR(F1882&lt;&gt;"Supported",E1882&lt;&gt;""),OR(G1882&lt;&gt;"Supported",AND(F1882="Supported",D1882&lt;&gt;"",E1882&lt;&gt;""))),"Yes","No"))</f>
        <v/>
      </c>
    </row>
    <row r="1883" spans="11:11">
      <c r="K1883" s="11">
        <f>IF(OR(A1883="",C1883=""),"",IF(AND(COUNTIF(Responses!$A$6:$A$205,A1883)=1,B1883&lt;&gt;"",COUNTIFS($A$6:$A$2005,A1883,$B$6:$B$2005,B1883)=1,OR(F1883="Supported",F1883="Unsupported",F1883="Contradicted"),OR(G1883="Supported",G1883="Wrong citation",G1883="Missing citation"),OR(H1883="Yes",H1883="No"),I1883&lt;&gt;"",OR(F1883&lt;&gt;"Supported",E1883&lt;&gt;""),OR(G1883&lt;&gt;"Supported",AND(F1883="Supported",D1883&lt;&gt;"",E1883&lt;&gt;""))),"Yes","No"))</f>
        <v/>
      </c>
    </row>
    <row r="1884" spans="11:11">
      <c r="K1884" s="11">
        <f>IF(OR(A1884="",C1884=""),"",IF(AND(COUNTIF(Responses!$A$6:$A$205,A1884)=1,B1884&lt;&gt;"",COUNTIFS($A$6:$A$2005,A1884,$B$6:$B$2005,B1884)=1,OR(F1884="Supported",F1884="Unsupported",F1884="Contradicted"),OR(G1884="Supported",G1884="Wrong citation",G1884="Missing citation"),OR(H1884="Yes",H1884="No"),I1884&lt;&gt;"",OR(F1884&lt;&gt;"Supported",E1884&lt;&gt;""),OR(G1884&lt;&gt;"Supported",AND(F1884="Supported",D1884&lt;&gt;"",E1884&lt;&gt;""))),"Yes","No"))</f>
        <v/>
      </c>
    </row>
    <row r="1885" spans="11:11">
      <c r="K1885" s="11">
        <f>IF(OR(A1885="",C1885=""),"",IF(AND(COUNTIF(Responses!$A$6:$A$205,A1885)=1,B1885&lt;&gt;"",COUNTIFS($A$6:$A$2005,A1885,$B$6:$B$2005,B1885)=1,OR(F1885="Supported",F1885="Unsupported",F1885="Contradicted"),OR(G1885="Supported",G1885="Wrong citation",G1885="Missing citation"),OR(H1885="Yes",H1885="No"),I1885&lt;&gt;"",OR(F1885&lt;&gt;"Supported",E1885&lt;&gt;""),OR(G1885&lt;&gt;"Supported",AND(F1885="Supported",D1885&lt;&gt;"",E1885&lt;&gt;""))),"Yes","No"))</f>
        <v/>
      </c>
    </row>
    <row r="1886" spans="11:11">
      <c r="K1886" s="11">
        <f>IF(OR(A1886="",C1886=""),"",IF(AND(COUNTIF(Responses!$A$6:$A$205,A1886)=1,B1886&lt;&gt;"",COUNTIFS($A$6:$A$2005,A1886,$B$6:$B$2005,B1886)=1,OR(F1886="Supported",F1886="Unsupported",F1886="Contradicted"),OR(G1886="Supported",G1886="Wrong citation",G1886="Missing citation"),OR(H1886="Yes",H1886="No"),I1886&lt;&gt;"",OR(F1886&lt;&gt;"Supported",E1886&lt;&gt;""),OR(G1886&lt;&gt;"Supported",AND(F1886="Supported",D1886&lt;&gt;"",E1886&lt;&gt;""))),"Yes","No"))</f>
        <v/>
      </c>
    </row>
    <row r="1887" spans="11:11">
      <c r="K1887" s="11">
        <f>IF(OR(A1887="",C1887=""),"",IF(AND(COUNTIF(Responses!$A$6:$A$205,A1887)=1,B1887&lt;&gt;"",COUNTIFS($A$6:$A$2005,A1887,$B$6:$B$2005,B1887)=1,OR(F1887="Supported",F1887="Unsupported",F1887="Contradicted"),OR(G1887="Supported",G1887="Wrong citation",G1887="Missing citation"),OR(H1887="Yes",H1887="No"),I1887&lt;&gt;"",OR(F1887&lt;&gt;"Supported",E1887&lt;&gt;""),OR(G1887&lt;&gt;"Supported",AND(F1887="Supported",D1887&lt;&gt;"",E1887&lt;&gt;""))),"Yes","No"))</f>
        <v/>
      </c>
    </row>
    <row r="1888" spans="11:11">
      <c r="K1888" s="11">
        <f>IF(OR(A1888="",C1888=""),"",IF(AND(COUNTIF(Responses!$A$6:$A$205,A1888)=1,B1888&lt;&gt;"",COUNTIFS($A$6:$A$2005,A1888,$B$6:$B$2005,B1888)=1,OR(F1888="Supported",F1888="Unsupported",F1888="Contradicted"),OR(G1888="Supported",G1888="Wrong citation",G1888="Missing citation"),OR(H1888="Yes",H1888="No"),I1888&lt;&gt;"",OR(F1888&lt;&gt;"Supported",E1888&lt;&gt;""),OR(G1888&lt;&gt;"Supported",AND(F1888="Supported",D1888&lt;&gt;"",E1888&lt;&gt;""))),"Yes","No"))</f>
        <v/>
      </c>
    </row>
    <row r="1889" spans="11:11">
      <c r="K1889" s="11">
        <f>IF(OR(A1889="",C1889=""),"",IF(AND(COUNTIF(Responses!$A$6:$A$205,A1889)=1,B1889&lt;&gt;"",COUNTIFS($A$6:$A$2005,A1889,$B$6:$B$2005,B1889)=1,OR(F1889="Supported",F1889="Unsupported",F1889="Contradicted"),OR(G1889="Supported",G1889="Wrong citation",G1889="Missing citation"),OR(H1889="Yes",H1889="No"),I1889&lt;&gt;"",OR(F1889&lt;&gt;"Supported",E1889&lt;&gt;""),OR(G1889&lt;&gt;"Supported",AND(F1889="Supported",D1889&lt;&gt;"",E1889&lt;&gt;""))),"Yes","No"))</f>
        <v/>
      </c>
    </row>
    <row r="1890" spans="11:11">
      <c r="K1890" s="11">
        <f>IF(OR(A1890="",C1890=""),"",IF(AND(COUNTIF(Responses!$A$6:$A$205,A1890)=1,B1890&lt;&gt;"",COUNTIFS($A$6:$A$2005,A1890,$B$6:$B$2005,B1890)=1,OR(F1890="Supported",F1890="Unsupported",F1890="Contradicted"),OR(G1890="Supported",G1890="Wrong citation",G1890="Missing citation"),OR(H1890="Yes",H1890="No"),I1890&lt;&gt;"",OR(F1890&lt;&gt;"Supported",E1890&lt;&gt;""),OR(G1890&lt;&gt;"Supported",AND(F1890="Supported",D1890&lt;&gt;"",E1890&lt;&gt;""))),"Yes","No"))</f>
        <v/>
      </c>
    </row>
    <row r="1891" spans="11:11">
      <c r="K1891" s="11">
        <f>IF(OR(A1891="",C1891=""),"",IF(AND(COUNTIF(Responses!$A$6:$A$205,A1891)=1,B1891&lt;&gt;"",COUNTIFS($A$6:$A$2005,A1891,$B$6:$B$2005,B1891)=1,OR(F1891="Supported",F1891="Unsupported",F1891="Contradicted"),OR(G1891="Supported",G1891="Wrong citation",G1891="Missing citation"),OR(H1891="Yes",H1891="No"),I1891&lt;&gt;"",OR(F1891&lt;&gt;"Supported",E1891&lt;&gt;""),OR(G1891&lt;&gt;"Supported",AND(F1891="Supported",D1891&lt;&gt;"",E1891&lt;&gt;""))),"Yes","No"))</f>
        <v/>
      </c>
    </row>
    <row r="1892" spans="11:11">
      <c r="K1892" s="11">
        <f>IF(OR(A1892="",C1892=""),"",IF(AND(COUNTIF(Responses!$A$6:$A$205,A1892)=1,B1892&lt;&gt;"",COUNTIFS($A$6:$A$2005,A1892,$B$6:$B$2005,B1892)=1,OR(F1892="Supported",F1892="Unsupported",F1892="Contradicted"),OR(G1892="Supported",G1892="Wrong citation",G1892="Missing citation"),OR(H1892="Yes",H1892="No"),I1892&lt;&gt;"",OR(F1892&lt;&gt;"Supported",E1892&lt;&gt;""),OR(G1892&lt;&gt;"Supported",AND(F1892="Supported",D1892&lt;&gt;"",E1892&lt;&gt;""))),"Yes","No"))</f>
        <v/>
      </c>
    </row>
    <row r="1893" spans="11:11">
      <c r="K1893" s="11">
        <f>IF(OR(A1893="",C1893=""),"",IF(AND(COUNTIF(Responses!$A$6:$A$205,A1893)=1,B1893&lt;&gt;"",COUNTIFS($A$6:$A$2005,A1893,$B$6:$B$2005,B1893)=1,OR(F1893="Supported",F1893="Unsupported",F1893="Contradicted"),OR(G1893="Supported",G1893="Wrong citation",G1893="Missing citation"),OR(H1893="Yes",H1893="No"),I1893&lt;&gt;"",OR(F1893&lt;&gt;"Supported",E1893&lt;&gt;""),OR(G1893&lt;&gt;"Supported",AND(F1893="Supported",D1893&lt;&gt;"",E1893&lt;&gt;""))),"Yes","No"))</f>
        <v/>
      </c>
    </row>
    <row r="1894" spans="11:11">
      <c r="K1894" s="11">
        <f>IF(OR(A1894="",C1894=""),"",IF(AND(COUNTIF(Responses!$A$6:$A$205,A1894)=1,B1894&lt;&gt;"",COUNTIFS($A$6:$A$2005,A1894,$B$6:$B$2005,B1894)=1,OR(F1894="Supported",F1894="Unsupported",F1894="Contradicted"),OR(G1894="Supported",G1894="Wrong citation",G1894="Missing citation"),OR(H1894="Yes",H1894="No"),I1894&lt;&gt;"",OR(F1894&lt;&gt;"Supported",E1894&lt;&gt;""),OR(G1894&lt;&gt;"Supported",AND(F1894="Supported",D1894&lt;&gt;"",E1894&lt;&gt;""))),"Yes","No"))</f>
        <v/>
      </c>
    </row>
    <row r="1895" spans="11:11">
      <c r="K1895" s="11">
        <f>IF(OR(A1895="",C1895=""),"",IF(AND(COUNTIF(Responses!$A$6:$A$205,A1895)=1,B1895&lt;&gt;"",COUNTIFS($A$6:$A$2005,A1895,$B$6:$B$2005,B1895)=1,OR(F1895="Supported",F1895="Unsupported",F1895="Contradicted"),OR(G1895="Supported",G1895="Wrong citation",G1895="Missing citation"),OR(H1895="Yes",H1895="No"),I1895&lt;&gt;"",OR(F1895&lt;&gt;"Supported",E1895&lt;&gt;""),OR(G1895&lt;&gt;"Supported",AND(F1895="Supported",D1895&lt;&gt;"",E1895&lt;&gt;""))),"Yes","No"))</f>
        <v/>
      </c>
    </row>
    <row r="1896" spans="11:11">
      <c r="K1896" s="11">
        <f>IF(OR(A1896="",C1896=""),"",IF(AND(COUNTIF(Responses!$A$6:$A$205,A1896)=1,B1896&lt;&gt;"",COUNTIFS($A$6:$A$2005,A1896,$B$6:$B$2005,B1896)=1,OR(F1896="Supported",F1896="Unsupported",F1896="Contradicted"),OR(G1896="Supported",G1896="Wrong citation",G1896="Missing citation"),OR(H1896="Yes",H1896="No"),I1896&lt;&gt;"",OR(F1896&lt;&gt;"Supported",E1896&lt;&gt;""),OR(G1896&lt;&gt;"Supported",AND(F1896="Supported",D1896&lt;&gt;"",E1896&lt;&gt;""))),"Yes","No"))</f>
        <v/>
      </c>
    </row>
    <row r="1897" spans="11:11">
      <c r="K1897" s="11">
        <f>IF(OR(A1897="",C1897=""),"",IF(AND(COUNTIF(Responses!$A$6:$A$205,A1897)=1,B1897&lt;&gt;"",COUNTIFS($A$6:$A$2005,A1897,$B$6:$B$2005,B1897)=1,OR(F1897="Supported",F1897="Unsupported",F1897="Contradicted"),OR(G1897="Supported",G1897="Wrong citation",G1897="Missing citation"),OR(H1897="Yes",H1897="No"),I1897&lt;&gt;"",OR(F1897&lt;&gt;"Supported",E1897&lt;&gt;""),OR(G1897&lt;&gt;"Supported",AND(F1897="Supported",D1897&lt;&gt;"",E1897&lt;&gt;""))),"Yes","No"))</f>
        <v/>
      </c>
    </row>
    <row r="1898" spans="11:11">
      <c r="K1898" s="11">
        <f>IF(OR(A1898="",C1898=""),"",IF(AND(COUNTIF(Responses!$A$6:$A$205,A1898)=1,B1898&lt;&gt;"",COUNTIFS($A$6:$A$2005,A1898,$B$6:$B$2005,B1898)=1,OR(F1898="Supported",F1898="Unsupported",F1898="Contradicted"),OR(G1898="Supported",G1898="Wrong citation",G1898="Missing citation"),OR(H1898="Yes",H1898="No"),I1898&lt;&gt;"",OR(F1898&lt;&gt;"Supported",E1898&lt;&gt;""),OR(G1898&lt;&gt;"Supported",AND(F1898="Supported",D1898&lt;&gt;"",E1898&lt;&gt;""))),"Yes","No"))</f>
        <v/>
      </c>
    </row>
    <row r="1899" spans="11:11">
      <c r="K1899" s="11">
        <f>IF(OR(A1899="",C1899=""),"",IF(AND(COUNTIF(Responses!$A$6:$A$205,A1899)=1,B1899&lt;&gt;"",COUNTIFS($A$6:$A$2005,A1899,$B$6:$B$2005,B1899)=1,OR(F1899="Supported",F1899="Unsupported",F1899="Contradicted"),OR(G1899="Supported",G1899="Wrong citation",G1899="Missing citation"),OR(H1899="Yes",H1899="No"),I1899&lt;&gt;"",OR(F1899&lt;&gt;"Supported",E1899&lt;&gt;""),OR(G1899&lt;&gt;"Supported",AND(F1899="Supported",D1899&lt;&gt;"",E1899&lt;&gt;""))),"Yes","No"))</f>
        <v/>
      </c>
    </row>
    <row r="1900" spans="11:11">
      <c r="K1900" s="11">
        <f>IF(OR(A1900="",C1900=""),"",IF(AND(COUNTIF(Responses!$A$6:$A$205,A1900)=1,B1900&lt;&gt;"",COUNTIFS($A$6:$A$2005,A1900,$B$6:$B$2005,B1900)=1,OR(F1900="Supported",F1900="Unsupported",F1900="Contradicted"),OR(G1900="Supported",G1900="Wrong citation",G1900="Missing citation"),OR(H1900="Yes",H1900="No"),I1900&lt;&gt;"",OR(F1900&lt;&gt;"Supported",E1900&lt;&gt;""),OR(G1900&lt;&gt;"Supported",AND(F1900="Supported",D1900&lt;&gt;"",E1900&lt;&gt;""))),"Yes","No"))</f>
        <v/>
      </c>
    </row>
    <row r="1901" spans="11:11">
      <c r="K1901" s="11">
        <f>IF(OR(A1901="",C1901=""),"",IF(AND(COUNTIF(Responses!$A$6:$A$205,A1901)=1,B1901&lt;&gt;"",COUNTIFS($A$6:$A$2005,A1901,$B$6:$B$2005,B1901)=1,OR(F1901="Supported",F1901="Unsupported",F1901="Contradicted"),OR(G1901="Supported",G1901="Wrong citation",G1901="Missing citation"),OR(H1901="Yes",H1901="No"),I1901&lt;&gt;"",OR(F1901&lt;&gt;"Supported",E1901&lt;&gt;""),OR(G1901&lt;&gt;"Supported",AND(F1901="Supported",D1901&lt;&gt;"",E1901&lt;&gt;""))),"Yes","No"))</f>
        <v/>
      </c>
    </row>
    <row r="1902" spans="11:11">
      <c r="K1902" s="11">
        <f>IF(OR(A1902="",C1902=""),"",IF(AND(COUNTIF(Responses!$A$6:$A$205,A1902)=1,B1902&lt;&gt;"",COUNTIFS($A$6:$A$2005,A1902,$B$6:$B$2005,B1902)=1,OR(F1902="Supported",F1902="Unsupported",F1902="Contradicted"),OR(G1902="Supported",G1902="Wrong citation",G1902="Missing citation"),OR(H1902="Yes",H1902="No"),I1902&lt;&gt;"",OR(F1902&lt;&gt;"Supported",E1902&lt;&gt;""),OR(G1902&lt;&gt;"Supported",AND(F1902="Supported",D1902&lt;&gt;"",E1902&lt;&gt;""))),"Yes","No"))</f>
        <v/>
      </c>
    </row>
    <row r="1903" spans="11:11">
      <c r="K1903" s="11">
        <f>IF(OR(A1903="",C1903=""),"",IF(AND(COUNTIF(Responses!$A$6:$A$205,A1903)=1,B1903&lt;&gt;"",COUNTIFS($A$6:$A$2005,A1903,$B$6:$B$2005,B1903)=1,OR(F1903="Supported",F1903="Unsupported",F1903="Contradicted"),OR(G1903="Supported",G1903="Wrong citation",G1903="Missing citation"),OR(H1903="Yes",H1903="No"),I1903&lt;&gt;"",OR(F1903&lt;&gt;"Supported",E1903&lt;&gt;""),OR(G1903&lt;&gt;"Supported",AND(F1903="Supported",D1903&lt;&gt;"",E1903&lt;&gt;""))),"Yes","No"))</f>
        <v/>
      </c>
    </row>
    <row r="1904" spans="11:11">
      <c r="K1904" s="11">
        <f>IF(OR(A1904="",C1904=""),"",IF(AND(COUNTIF(Responses!$A$6:$A$205,A1904)=1,B1904&lt;&gt;"",COUNTIFS($A$6:$A$2005,A1904,$B$6:$B$2005,B1904)=1,OR(F1904="Supported",F1904="Unsupported",F1904="Contradicted"),OR(G1904="Supported",G1904="Wrong citation",G1904="Missing citation"),OR(H1904="Yes",H1904="No"),I1904&lt;&gt;"",OR(F1904&lt;&gt;"Supported",E1904&lt;&gt;""),OR(G1904&lt;&gt;"Supported",AND(F1904="Supported",D1904&lt;&gt;"",E1904&lt;&gt;""))),"Yes","No"))</f>
        <v/>
      </c>
    </row>
    <row r="1905" spans="11:11">
      <c r="K1905" s="11">
        <f>IF(OR(A1905="",C1905=""),"",IF(AND(COUNTIF(Responses!$A$6:$A$205,A1905)=1,B1905&lt;&gt;"",COUNTIFS($A$6:$A$2005,A1905,$B$6:$B$2005,B1905)=1,OR(F1905="Supported",F1905="Unsupported",F1905="Contradicted"),OR(G1905="Supported",G1905="Wrong citation",G1905="Missing citation"),OR(H1905="Yes",H1905="No"),I1905&lt;&gt;"",OR(F1905&lt;&gt;"Supported",E1905&lt;&gt;""),OR(G1905&lt;&gt;"Supported",AND(F1905="Supported",D1905&lt;&gt;"",E1905&lt;&gt;""))),"Yes","No"))</f>
        <v/>
      </c>
    </row>
    <row r="1906" spans="11:11">
      <c r="K1906" s="11">
        <f>IF(OR(A1906="",C1906=""),"",IF(AND(COUNTIF(Responses!$A$6:$A$205,A1906)=1,B1906&lt;&gt;"",COUNTIFS($A$6:$A$2005,A1906,$B$6:$B$2005,B1906)=1,OR(F1906="Supported",F1906="Unsupported",F1906="Contradicted"),OR(G1906="Supported",G1906="Wrong citation",G1906="Missing citation"),OR(H1906="Yes",H1906="No"),I1906&lt;&gt;"",OR(F1906&lt;&gt;"Supported",E1906&lt;&gt;""),OR(G1906&lt;&gt;"Supported",AND(F1906="Supported",D1906&lt;&gt;"",E1906&lt;&gt;""))),"Yes","No"))</f>
        <v/>
      </c>
    </row>
    <row r="1907" spans="11:11">
      <c r="K1907" s="11">
        <f>IF(OR(A1907="",C1907=""),"",IF(AND(COUNTIF(Responses!$A$6:$A$205,A1907)=1,B1907&lt;&gt;"",COUNTIFS($A$6:$A$2005,A1907,$B$6:$B$2005,B1907)=1,OR(F1907="Supported",F1907="Unsupported",F1907="Contradicted"),OR(G1907="Supported",G1907="Wrong citation",G1907="Missing citation"),OR(H1907="Yes",H1907="No"),I1907&lt;&gt;"",OR(F1907&lt;&gt;"Supported",E1907&lt;&gt;""),OR(G1907&lt;&gt;"Supported",AND(F1907="Supported",D1907&lt;&gt;"",E1907&lt;&gt;""))),"Yes","No"))</f>
        <v/>
      </c>
    </row>
    <row r="1908" spans="11:11">
      <c r="K1908" s="11">
        <f>IF(OR(A1908="",C1908=""),"",IF(AND(COUNTIF(Responses!$A$6:$A$205,A1908)=1,B1908&lt;&gt;"",COUNTIFS($A$6:$A$2005,A1908,$B$6:$B$2005,B1908)=1,OR(F1908="Supported",F1908="Unsupported",F1908="Contradicted"),OR(G1908="Supported",G1908="Wrong citation",G1908="Missing citation"),OR(H1908="Yes",H1908="No"),I1908&lt;&gt;"",OR(F1908&lt;&gt;"Supported",E1908&lt;&gt;""),OR(G1908&lt;&gt;"Supported",AND(F1908="Supported",D1908&lt;&gt;"",E1908&lt;&gt;""))),"Yes","No"))</f>
        <v/>
      </c>
    </row>
    <row r="1909" spans="11:11">
      <c r="K1909" s="11">
        <f>IF(OR(A1909="",C1909=""),"",IF(AND(COUNTIF(Responses!$A$6:$A$205,A1909)=1,B1909&lt;&gt;"",COUNTIFS($A$6:$A$2005,A1909,$B$6:$B$2005,B1909)=1,OR(F1909="Supported",F1909="Unsupported",F1909="Contradicted"),OR(G1909="Supported",G1909="Wrong citation",G1909="Missing citation"),OR(H1909="Yes",H1909="No"),I1909&lt;&gt;"",OR(F1909&lt;&gt;"Supported",E1909&lt;&gt;""),OR(G1909&lt;&gt;"Supported",AND(F1909="Supported",D1909&lt;&gt;"",E1909&lt;&gt;""))),"Yes","No"))</f>
        <v/>
      </c>
    </row>
    <row r="1910" spans="11:11">
      <c r="K1910" s="11">
        <f>IF(OR(A1910="",C1910=""),"",IF(AND(COUNTIF(Responses!$A$6:$A$205,A1910)=1,B1910&lt;&gt;"",COUNTIFS($A$6:$A$2005,A1910,$B$6:$B$2005,B1910)=1,OR(F1910="Supported",F1910="Unsupported",F1910="Contradicted"),OR(G1910="Supported",G1910="Wrong citation",G1910="Missing citation"),OR(H1910="Yes",H1910="No"),I1910&lt;&gt;"",OR(F1910&lt;&gt;"Supported",E1910&lt;&gt;""),OR(G1910&lt;&gt;"Supported",AND(F1910="Supported",D1910&lt;&gt;"",E1910&lt;&gt;""))),"Yes","No"))</f>
        <v/>
      </c>
    </row>
    <row r="1911" spans="11:11">
      <c r="K1911" s="11">
        <f>IF(OR(A1911="",C1911=""),"",IF(AND(COUNTIF(Responses!$A$6:$A$205,A1911)=1,B1911&lt;&gt;"",COUNTIFS($A$6:$A$2005,A1911,$B$6:$B$2005,B1911)=1,OR(F1911="Supported",F1911="Unsupported",F1911="Contradicted"),OR(G1911="Supported",G1911="Wrong citation",G1911="Missing citation"),OR(H1911="Yes",H1911="No"),I1911&lt;&gt;"",OR(F1911&lt;&gt;"Supported",E1911&lt;&gt;""),OR(G1911&lt;&gt;"Supported",AND(F1911="Supported",D1911&lt;&gt;"",E1911&lt;&gt;""))),"Yes","No"))</f>
        <v/>
      </c>
    </row>
    <row r="1912" spans="11:11">
      <c r="K1912" s="11">
        <f>IF(OR(A1912="",C1912=""),"",IF(AND(COUNTIF(Responses!$A$6:$A$205,A1912)=1,B1912&lt;&gt;"",COUNTIFS($A$6:$A$2005,A1912,$B$6:$B$2005,B1912)=1,OR(F1912="Supported",F1912="Unsupported",F1912="Contradicted"),OR(G1912="Supported",G1912="Wrong citation",G1912="Missing citation"),OR(H1912="Yes",H1912="No"),I1912&lt;&gt;"",OR(F1912&lt;&gt;"Supported",E1912&lt;&gt;""),OR(G1912&lt;&gt;"Supported",AND(F1912="Supported",D1912&lt;&gt;"",E1912&lt;&gt;""))),"Yes","No"))</f>
        <v/>
      </c>
    </row>
    <row r="1913" spans="11:11">
      <c r="K1913" s="11">
        <f>IF(OR(A1913="",C1913=""),"",IF(AND(COUNTIF(Responses!$A$6:$A$205,A1913)=1,B1913&lt;&gt;"",COUNTIFS($A$6:$A$2005,A1913,$B$6:$B$2005,B1913)=1,OR(F1913="Supported",F1913="Unsupported",F1913="Contradicted"),OR(G1913="Supported",G1913="Wrong citation",G1913="Missing citation"),OR(H1913="Yes",H1913="No"),I1913&lt;&gt;"",OR(F1913&lt;&gt;"Supported",E1913&lt;&gt;""),OR(G1913&lt;&gt;"Supported",AND(F1913="Supported",D1913&lt;&gt;"",E1913&lt;&gt;""))),"Yes","No"))</f>
        <v/>
      </c>
    </row>
    <row r="1914" spans="11:11">
      <c r="K1914" s="11">
        <f>IF(OR(A1914="",C1914=""),"",IF(AND(COUNTIF(Responses!$A$6:$A$205,A1914)=1,B1914&lt;&gt;"",COUNTIFS($A$6:$A$2005,A1914,$B$6:$B$2005,B1914)=1,OR(F1914="Supported",F1914="Unsupported",F1914="Contradicted"),OR(G1914="Supported",G1914="Wrong citation",G1914="Missing citation"),OR(H1914="Yes",H1914="No"),I1914&lt;&gt;"",OR(F1914&lt;&gt;"Supported",E1914&lt;&gt;""),OR(G1914&lt;&gt;"Supported",AND(F1914="Supported",D1914&lt;&gt;"",E1914&lt;&gt;""))),"Yes","No"))</f>
        <v/>
      </c>
    </row>
    <row r="1915" spans="11:11">
      <c r="K1915" s="11">
        <f>IF(OR(A1915="",C1915=""),"",IF(AND(COUNTIF(Responses!$A$6:$A$205,A1915)=1,B1915&lt;&gt;"",COUNTIFS($A$6:$A$2005,A1915,$B$6:$B$2005,B1915)=1,OR(F1915="Supported",F1915="Unsupported",F1915="Contradicted"),OR(G1915="Supported",G1915="Wrong citation",G1915="Missing citation"),OR(H1915="Yes",H1915="No"),I1915&lt;&gt;"",OR(F1915&lt;&gt;"Supported",E1915&lt;&gt;""),OR(G1915&lt;&gt;"Supported",AND(F1915="Supported",D1915&lt;&gt;"",E1915&lt;&gt;""))),"Yes","No"))</f>
        <v/>
      </c>
    </row>
    <row r="1916" spans="11:11">
      <c r="K1916" s="11">
        <f>IF(OR(A1916="",C1916=""),"",IF(AND(COUNTIF(Responses!$A$6:$A$205,A1916)=1,B1916&lt;&gt;"",COUNTIFS($A$6:$A$2005,A1916,$B$6:$B$2005,B1916)=1,OR(F1916="Supported",F1916="Unsupported",F1916="Contradicted"),OR(G1916="Supported",G1916="Wrong citation",G1916="Missing citation"),OR(H1916="Yes",H1916="No"),I1916&lt;&gt;"",OR(F1916&lt;&gt;"Supported",E1916&lt;&gt;""),OR(G1916&lt;&gt;"Supported",AND(F1916="Supported",D1916&lt;&gt;"",E1916&lt;&gt;""))),"Yes","No"))</f>
        <v/>
      </c>
    </row>
    <row r="1917" spans="11:11">
      <c r="K1917" s="11">
        <f>IF(OR(A1917="",C1917=""),"",IF(AND(COUNTIF(Responses!$A$6:$A$205,A1917)=1,B1917&lt;&gt;"",COUNTIFS($A$6:$A$2005,A1917,$B$6:$B$2005,B1917)=1,OR(F1917="Supported",F1917="Unsupported",F1917="Contradicted"),OR(G1917="Supported",G1917="Wrong citation",G1917="Missing citation"),OR(H1917="Yes",H1917="No"),I1917&lt;&gt;"",OR(F1917&lt;&gt;"Supported",E1917&lt;&gt;""),OR(G1917&lt;&gt;"Supported",AND(F1917="Supported",D1917&lt;&gt;"",E1917&lt;&gt;""))),"Yes","No"))</f>
        <v/>
      </c>
    </row>
    <row r="1918" spans="11:11">
      <c r="K1918" s="11">
        <f>IF(OR(A1918="",C1918=""),"",IF(AND(COUNTIF(Responses!$A$6:$A$205,A1918)=1,B1918&lt;&gt;"",COUNTIFS($A$6:$A$2005,A1918,$B$6:$B$2005,B1918)=1,OR(F1918="Supported",F1918="Unsupported",F1918="Contradicted"),OR(G1918="Supported",G1918="Wrong citation",G1918="Missing citation"),OR(H1918="Yes",H1918="No"),I1918&lt;&gt;"",OR(F1918&lt;&gt;"Supported",E1918&lt;&gt;""),OR(G1918&lt;&gt;"Supported",AND(F1918="Supported",D1918&lt;&gt;"",E1918&lt;&gt;""))),"Yes","No"))</f>
        <v/>
      </c>
    </row>
    <row r="1919" spans="11:11">
      <c r="K1919" s="11">
        <f>IF(OR(A1919="",C1919=""),"",IF(AND(COUNTIF(Responses!$A$6:$A$205,A1919)=1,B1919&lt;&gt;"",COUNTIFS($A$6:$A$2005,A1919,$B$6:$B$2005,B1919)=1,OR(F1919="Supported",F1919="Unsupported",F1919="Contradicted"),OR(G1919="Supported",G1919="Wrong citation",G1919="Missing citation"),OR(H1919="Yes",H1919="No"),I1919&lt;&gt;"",OR(F1919&lt;&gt;"Supported",E1919&lt;&gt;""),OR(G1919&lt;&gt;"Supported",AND(F1919="Supported",D1919&lt;&gt;"",E1919&lt;&gt;""))),"Yes","No"))</f>
        <v/>
      </c>
    </row>
    <row r="1920" spans="11:11">
      <c r="K1920" s="11">
        <f>IF(OR(A1920="",C1920=""),"",IF(AND(COUNTIF(Responses!$A$6:$A$205,A1920)=1,B1920&lt;&gt;"",COUNTIFS($A$6:$A$2005,A1920,$B$6:$B$2005,B1920)=1,OR(F1920="Supported",F1920="Unsupported",F1920="Contradicted"),OR(G1920="Supported",G1920="Wrong citation",G1920="Missing citation"),OR(H1920="Yes",H1920="No"),I1920&lt;&gt;"",OR(F1920&lt;&gt;"Supported",E1920&lt;&gt;""),OR(G1920&lt;&gt;"Supported",AND(F1920="Supported",D1920&lt;&gt;"",E1920&lt;&gt;""))),"Yes","No"))</f>
        <v/>
      </c>
    </row>
    <row r="1921" spans="11:11">
      <c r="K1921" s="11">
        <f>IF(OR(A1921="",C1921=""),"",IF(AND(COUNTIF(Responses!$A$6:$A$205,A1921)=1,B1921&lt;&gt;"",COUNTIFS($A$6:$A$2005,A1921,$B$6:$B$2005,B1921)=1,OR(F1921="Supported",F1921="Unsupported",F1921="Contradicted"),OR(G1921="Supported",G1921="Wrong citation",G1921="Missing citation"),OR(H1921="Yes",H1921="No"),I1921&lt;&gt;"",OR(F1921&lt;&gt;"Supported",E1921&lt;&gt;""),OR(G1921&lt;&gt;"Supported",AND(F1921="Supported",D1921&lt;&gt;"",E1921&lt;&gt;""))),"Yes","No"))</f>
        <v/>
      </c>
    </row>
    <row r="1922" spans="11:11">
      <c r="K1922" s="11">
        <f>IF(OR(A1922="",C1922=""),"",IF(AND(COUNTIF(Responses!$A$6:$A$205,A1922)=1,B1922&lt;&gt;"",COUNTIFS($A$6:$A$2005,A1922,$B$6:$B$2005,B1922)=1,OR(F1922="Supported",F1922="Unsupported",F1922="Contradicted"),OR(G1922="Supported",G1922="Wrong citation",G1922="Missing citation"),OR(H1922="Yes",H1922="No"),I1922&lt;&gt;"",OR(F1922&lt;&gt;"Supported",E1922&lt;&gt;""),OR(G1922&lt;&gt;"Supported",AND(F1922="Supported",D1922&lt;&gt;"",E1922&lt;&gt;""))),"Yes","No"))</f>
        <v/>
      </c>
    </row>
    <row r="1923" spans="11:11">
      <c r="K1923" s="11">
        <f>IF(OR(A1923="",C1923=""),"",IF(AND(COUNTIF(Responses!$A$6:$A$205,A1923)=1,B1923&lt;&gt;"",COUNTIFS($A$6:$A$2005,A1923,$B$6:$B$2005,B1923)=1,OR(F1923="Supported",F1923="Unsupported",F1923="Contradicted"),OR(G1923="Supported",G1923="Wrong citation",G1923="Missing citation"),OR(H1923="Yes",H1923="No"),I1923&lt;&gt;"",OR(F1923&lt;&gt;"Supported",E1923&lt;&gt;""),OR(G1923&lt;&gt;"Supported",AND(F1923="Supported",D1923&lt;&gt;"",E1923&lt;&gt;""))),"Yes","No"))</f>
        <v/>
      </c>
    </row>
    <row r="1924" spans="11:11">
      <c r="K1924" s="11">
        <f>IF(OR(A1924="",C1924=""),"",IF(AND(COUNTIF(Responses!$A$6:$A$205,A1924)=1,B1924&lt;&gt;"",COUNTIFS($A$6:$A$2005,A1924,$B$6:$B$2005,B1924)=1,OR(F1924="Supported",F1924="Unsupported",F1924="Contradicted"),OR(G1924="Supported",G1924="Wrong citation",G1924="Missing citation"),OR(H1924="Yes",H1924="No"),I1924&lt;&gt;"",OR(F1924&lt;&gt;"Supported",E1924&lt;&gt;""),OR(G1924&lt;&gt;"Supported",AND(F1924="Supported",D1924&lt;&gt;"",E1924&lt;&gt;""))),"Yes","No"))</f>
        <v/>
      </c>
    </row>
    <row r="1925" spans="11:11">
      <c r="K1925" s="11">
        <f>IF(OR(A1925="",C1925=""),"",IF(AND(COUNTIF(Responses!$A$6:$A$205,A1925)=1,B1925&lt;&gt;"",COUNTIFS($A$6:$A$2005,A1925,$B$6:$B$2005,B1925)=1,OR(F1925="Supported",F1925="Unsupported",F1925="Contradicted"),OR(G1925="Supported",G1925="Wrong citation",G1925="Missing citation"),OR(H1925="Yes",H1925="No"),I1925&lt;&gt;"",OR(F1925&lt;&gt;"Supported",E1925&lt;&gt;""),OR(G1925&lt;&gt;"Supported",AND(F1925="Supported",D1925&lt;&gt;"",E1925&lt;&gt;""))),"Yes","No"))</f>
        <v/>
      </c>
    </row>
    <row r="1926" spans="11:11">
      <c r="K1926" s="11">
        <f>IF(OR(A1926="",C1926=""),"",IF(AND(COUNTIF(Responses!$A$6:$A$205,A1926)=1,B1926&lt;&gt;"",COUNTIFS($A$6:$A$2005,A1926,$B$6:$B$2005,B1926)=1,OR(F1926="Supported",F1926="Unsupported",F1926="Contradicted"),OR(G1926="Supported",G1926="Wrong citation",G1926="Missing citation"),OR(H1926="Yes",H1926="No"),I1926&lt;&gt;"",OR(F1926&lt;&gt;"Supported",E1926&lt;&gt;""),OR(G1926&lt;&gt;"Supported",AND(F1926="Supported",D1926&lt;&gt;"",E1926&lt;&gt;""))),"Yes","No"))</f>
        <v/>
      </c>
    </row>
    <row r="1927" spans="11:11">
      <c r="K1927" s="11">
        <f>IF(OR(A1927="",C1927=""),"",IF(AND(COUNTIF(Responses!$A$6:$A$205,A1927)=1,B1927&lt;&gt;"",COUNTIFS($A$6:$A$2005,A1927,$B$6:$B$2005,B1927)=1,OR(F1927="Supported",F1927="Unsupported",F1927="Contradicted"),OR(G1927="Supported",G1927="Wrong citation",G1927="Missing citation"),OR(H1927="Yes",H1927="No"),I1927&lt;&gt;"",OR(F1927&lt;&gt;"Supported",E1927&lt;&gt;""),OR(G1927&lt;&gt;"Supported",AND(F1927="Supported",D1927&lt;&gt;"",E1927&lt;&gt;""))),"Yes","No"))</f>
        <v/>
      </c>
    </row>
    <row r="1928" spans="11:11">
      <c r="K1928" s="11">
        <f>IF(OR(A1928="",C1928=""),"",IF(AND(COUNTIF(Responses!$A$6:$A$205,A1928)=1,B1928&lt;&gt;"",COUNTIFS($A$6:$A$2005,A1928,$B$6:$B$2005,B1928)=1,OR(F1928="Supported",F1928="Unsupported",F1928="Contradicted"),OR(G1928="Supported",G1928="Wrong citation",G1928="Missing citation"),OR(H1928="Yes",H1928="No"),I1928&lt;&gt;"",OR(F1928&lt;&gt;"Supported",E1928&lt;&gt;""),OR(G1928&lt;&gt;"Supported",AND(F1928="Supported",D1928&lt;&gt;"",E1928&lt;&gt;""))),"Yes","No"))</f>
        <v/>
      </c>
    </row>
    <row r="1929" spans="11:11">
      <c r="K1929" s="11">
        <f>IF(OR(A1929="",C1929=""),"",IF(AND(COUNTIF(Responses!$A$6:$A$205,A1929)=1,B1929&lt;&gt;"",COUNTIFS($A$6:$A$2005,A1929,$B$6:$B$2005,B1929)=1,OR(F1929="Supported",F1929="Unsupported",F1929="Contradicted"),OR(G1929="Supported",G1929="Wrong citation",G1929="Missing citation"),OR(H1929="Yes",H1929="No"),I1929&lt;&gt;"",OR(F1929&lt;&gt;"Supported",E1929&lt;&gt;""),OR(G1929&lt;&gt;"Supported",AND(F1929="Supported",D1929&lt;&gt;"",E1929&lt;&gt;""))),"Yes","No"))</f>
        <v/>
      </c>
    </row>
    <row r="1930" spans="11:11">
      <c r="K1930" s="11">
        <f>IF(OR(A1930="",C1930=""),"",IF(AND(COUNTIF(Responses!$A$6:$A$205,A1930)=1,B1930&lt;&gt;"",COUNTIFS($A$6:$A$2005,A1930,$B$6:$B$2005,B1930)=1,OR(F1930="Supported",F1930="Unsupported",F1930="Contradicted"),OR(G1930="Supported",G1930="Wrong citation",G1930="Missing citation"),OR(H1930="Yes",H1930="No"),I1930&lt;&gt;"",OR(F1930&lt;&gt;"Supported",E1930&lt;&gt;""),OR(G1930&lt;&gt;"Supported",AND(F1930="Supported",D1930&lt;&gt;"",E1930&lt;&gt;""))),"Yes","No"))</f>
        <v/>
      </c>
    </row>
    <row r="1931" spans="11:11">
      <c r="K1931" s="11">
        <f>IF(OR(A1931="",C1931=""),"",IF(AND(COUNTIF(Responses!$A$6:$A$205,A1931)=1,B1931&lt;&gt;"",COUNTIFS($A$6:$A$2005,A1931,$B$6:$B$2005,B1931)=1,OR(F1931="Supported",F1931="Unsupported",F1931="Contradicted"),OR(G1931="Supported",G1931="Wrong citation",G1931="Missing citation"),OR(H1931="Yes",H1931="No"),I1931&lt;&gt;"",OR(F1931&lt;&gt;"Supported",E1931&lt;&gt;""),OR(G1931&lt;&gt;"Supported",AND(F1931="Supported",D1931&lt;&gt;"",E1931&lt;&gt;""))),"Yes","No"))</f>
        <v/>
      </c>
    </row>
    <row r="1932" spans="11:11">
      <c r="K1932" s="11">
        <f>IF(OR(A1932="",C1932=""),"",IF(AND(COUNTIF(Responses!$A$6:$A$205,A1932)=1,B1932&lt;&gt;"",COUNTIFS($A$6:$A$2005,A1932,$B$6:$B$2005,B1932)=1,OR(F1932="Supported",F1932="Unsupported",F1932="Contradicted"),OR(G1932="Supported",G1932="Wrong citation",G1932="Missing citation"),OR(H1932="Yes",H1932="No"),I1932&lt;&gt;"",OR(F1932&lt;&gt;"Supported",E1932&lt;&gt;""),OR(G1932&lt;&gt;"Supported",AND(F1932="Supported",D1932&lt;&gt;"",E1932&lt;&gt;""))),"Yes","No"))</f>
        <v/>
      </c>
    </row>
    <row r="1933" spans="11:11">
      <c r="K1933" s="11">
        <f>IF(OR(A1933="",C1933=""),"",IF(AND(COUNTIF(Responses!$A$6:$A$205,A1933)=1,B1933&lt;&gt;"",COUNTIFS($A$6:$A$2005,A1933,$B$6:$B$2005,B1933)=1,OR(F1933="Supported",F1933="Unsupported",F1933="Contradicted"),OR(G1933="Supported",G1933="Wrong citation",G1933="Missing citation"),OR(H1933="Yes",H1933="No"),I1933&lt;&gt;"",OR(F1933&lt;&gt;"Supported",E1933&lt;&gt;""),OR(G1933&lt;&gt;"Supported",AND(F1933="Supported",D1933&lt;&gt;"",E1933&lt;&gt;""))),"Yes","No"))</f>
        <v/>
      </c>
    </row>
    <row r="1934" spans="11:11">
      <c r="K1934" s="11">
        <f>IF(OR(A1934="",C1934=""),"",IF(AND(COUNTIF(Responses!$A$6:$A$205,A1934)=1,B1934&lt;&gt;"",COUNTIFS($A$6:$A$2005,A1934,$B$6:$B$2005,B1934)=1,OR(F1934="Supported",F1934="Unsupported",F1934="Contradicted"),OR(G1934="Supported",G1934="Wrong citation",G1934="Missing citation"),OR(H1934="Yes",H1934="No"),I1934&lt;&gt;"",OR(F1934&lt;&gt;"Supported",E1934&lt;&gt;""),OR(G1934&lt;&gt;"Supported",AND(F1934="Supported",D1934&lt;&gt;"",E1934&lt;&gt;""))),"Yes","No"))</f>
        <v/>
      </c>
    </row>
    <row r="1935" spans="11:11">
      <c r="K1935" s="11">
        <f>IF(OR(A1935="",C1935=""),"",IF(AND(COUNTIF(Responses!$A$6:$A$205,A1935)=1,B1935&lt;&gt;"",COUNTIFS($A$6:$A$2005,A1935,$B$6:$B$2005,B1935)=1,OR(F1935="Supported",F1935="Unsupported",F1935="Contradicted"),OR(G1935="Supported",G1935="Wrong citation",G1935="Missing citation"),OR(H1935="Yes",H1935="No"),I1935&lt;&gt;"",OR(F1935&lt;&gt;"Supported",E1935&lt;&gt;""),OR(G1935&lt;&gt;"Supported",AND(F1935="Supported",D1935&lt;&gt;"",E1935&lt;&gt;""))),"Yes","No"))</f>
        <v/>
      </c>
    </row>
    <row r="1936" spans="11:11">
      <c r="K1936" s="11">
        <f>IF(OR(A1936="",C1936=""),"",IF(AND(COUNTIF(Responses!$A$6:$A$205,A1936)=1,B1936&lt;&gt;"",COUNTIFS($A$6:$A$2005,A1936,$B$6:$B$2005,B1936)=1,OR(F1936="Supported",F1936="Unsupported",F1936="Contradicted"),OR(G1936="Supported",G1936="Wrong citation",G1936="Missing citation"),OR(H1936="Yes",H1936="No"),I1936&lt;&gt;"",OR(F1936&lt;&gt;"Supported",E1936&lt;&gt;""),OR(G1936&lt;&gt;"Supported",AND(F1936="Supported",D1936&lt;&gt;"",E1936&lt;&gt;""))),"Yes","No"))</f>
        <v/>
      </c>
    </row>
    <row r="1937" spans="11:11">
      <c r="K1937" s="11">
        <f>IF(OR(A1937="",C1937=""),"",IF(AND(COUNTIF(Responses!$A$6:$A$205,A1937)=1,B1937&lt;&gt;"",COUNTIFS($A$6:$A$2005,A1937,$B$6:$B$2005,B1937)=1,OR(F1937="Supported",F1937="Unsupported",F1937="Contradicted"),OR(G1937="Supported",G1937="Wrong citation",G1937="Missing citation"),OR(H1937="Yes",H1937="No"),I1937&lt;&gt;"",OR(F1937&lt;&gt;"Supported",E1937&lt;&gt;""),OR(G1937&lt;&gt;"Supported",AND(F1937="Supported",D1937&lt;&gt;"",E1937&lt;&gt;""))),"Yes","No"))</f>
        <v/>
      </c>
    </row>
    <row r="1938" spans="11:11">
      <c r="K1938" s="11">
        <f>IF(OR(A1938="",C1938=""),"",IF(AND(COUNTIF(Responses!$A$6:$A$205,A1938)=1,B1938&lt;&gt;"",COUNTIFS($A$6:$A$2005,A1938,$B$6:$B$2005,B1938)=1,OR(F1938="Supported",F1938="Unsupported",F1938="Contradicted"),OR(G1938="Supported",G1938="Wrong citation",G1938="Missing citation"),OR(H1938="Yes",H1938="No"),I1938&lt;&gt;"",OR(F1938&lt;&gt;"Supported",E1938&lt;&gt;""),OR(G1938&lt;&gt;"Supported",AND(F1938="Supported",D1938&lt;&gt;"",E1938&lt;&gt;""))),"Yes","No"))</f>
        <v/>
      </c>
    </row>
    <row r="1939" spans="11:11">
      <c r="K1939" s="11">
        <f>IF(OR(A1939="",C1939=""),"",IF(AND(COUNTIF(Responses!$A$6:$A$205,A1939)=1,B1939&lt;&gt;"",COUNTIFS($A$6:$A$2005,A1939,$B$6:$B$2005,B1939)=1,OR(F1939="Supported",F1939="Unsupported",F1939="Contradicted"),OR(G1939="Supported",G1939="Wrong citation",G1939="Missing citation"),OR(H1939="Yes",H1939="No"),I1939&lt;&gt;"",OR(F1939&lt;&gt;"Supported",E1939&lt;&gt;""),OR(G1939&lt;&gt;"Supported",AND(F1939="Supported",D1939&lt;&gt;"",E1939&lt;&gt;""))),"Yes","No"))</f>
        <v/>
      </c>
    </row>
    <row r="1940" spans="11:11">
      <c r="K1940" s="11">
        <f>IF(OR(A1940="",C1940=""),"",IF(AND(COUNTIF(Responses!$A$6:$A$205,A1940)=1,B1940&lt;&gt;"",COUNTIFS($A$6:$A$2005,A1940,$B$6:$B$2005,B1940)=1,OR(F1940="Supported",F1940="Unsupported",F1940="Contradicted"),OR(G1940="Supported",G1940="Wrong citation",G1940="Missing citation"),OR(H1940="Yes",H1940="No"),I1940&lt;&gt;"",OR(F1940&lt;&gt;"Supported",E1940&lt;&gt;""),OR(G1940&lt;&gt;"Supported",AND(F1940="Supported",D1940&lt;&gt;"",E1940&lt;&gt;""))),"Yes","No"))</f>
        <v/>
      </c>
    </row>
    <row r="1941" spans="11:11">
      <c r="K1941" s="11">
        <f>IF(OR(A1941="",C1941=""),"",IF(AND(COUNTIF(Responses!$A$6:$A$205,A1941)=1,B1941&lt;&gt;"",COUNTIFS($A$6:$A$2005,A1941,$B$6:$B$2005,B1941)=1,OR(F1941="Supported",F1941="Unsupported",F1941="Contradicted"),OR(G1941="Supported",G1941="Wrong citation",G1941="Missing citation"),OR(H1941="Yes",H1941="No"),I1941&lt;&gt;"",OR(F1941&lt;&gt;"Supported",E1941&lt;&gt;""),OR(G1941&lt;&gt;"Supported",AND(F1941="Supported",D1941&lt;&gt;"",E1941&lt;&gt;""))),"Yes","No"))</f>
        <v/>
      </c>
    </row>
    <row r="1942" spans="11:11">
      <c r="K1942" s="11">
        <f>IF(OR(A1942="",C1942=""),"",IF(AND(COUNTIF(Responses!$A$6:$A$205,A1942)=1,B1942&lt;&gt;"",COUNTIFS($A$6:$A$2005,A1942,$B$6:$B$2005,B1942)=1,OR(F1942="Supported",F1942="Unsupported",F1942="Contradicted"),OR(G1942="Supported",G1942="Wrong citation",G1942="Missing citation"),OR(H1942="Yes",H1942="No"),I1942&lt;&gt;"",OR(F1942&lt;&gt;"Supported",E1942&lt;&gt;""),OR(G1942&lt;&gt;"Supported",AND(F1942="Supported",D1942&lt;&gt;"",E1942&lt;&gt;""))),"Yes","No"))</f>
        <v/>
      </c>
    </row>
    <row r="1943" spans="11:11">
      <c r="K1943" s="11">
        <f>IF(OR(A1943="",C1943=""),"",IF(AND(COUNTIF(Responses!$A$6:$A$205,A1943)=1,B1943&lt;&gt;"",COUNTIFS($A$6:$A$2005,A1943,$B$6:$B$2005,B1943)=1,OR(F1943="Supported",F1943="Unsupported",F1943="Contradicted"),OR(G1943="Supported",G1943="Wrong citation",G1943="Missing citation"),OR(H1943="Yes",H1943="No"),I1943&lt;&gt;"",OR(F1943&lt;&gt;"Supported",E1943&lt;&gt;""),OR(G1943&lt;&gt;"Supported",AND(F1943="Supported",D1943&lt;&gt;"",E1943&lt;&gt;""))),"Yes","No"))</f>
        <v/>
      </c>
    </row>
    <row r="1944" spans="11:11">
      <c r="K1944" s="11">
        <f>IF(OR(A1944="",C1944=""),"",IF(AND(COUNTIF(Responses!$A$6:$A$205,A1944)=1,B1944&lt;&gt;"",COUNTIFS($A$6:$A$2005,A1944,$B$6:$B$2005,B1944)=1,OR(F1944="Supported",F1944="Unsupported",F1944="Contradicted"),OR(G1944="Supported",G1944="Wrong citation",G1944="Missing citation"),OR(H1944="Yes",H1944="No"),I1944&lt;&gt;"",OR(F1944&lt;&gt;"Supported",E1944&lt;&gt;""),OR(G1944&lt;&gt;"Supported",AND(F1944="Supported",D1944&lt;&gt;"",E1944&lt;&gt;""))),"Yes","No"))</f>
        <v/>
      </c>
    </row>
    <row r="1945" spans="11:11">
      <c r="K1945" s="11">
        <f>IF(OR(A1945="",C1945=""),"",IF(AND(COUNTIF(Responses!$A$6:$A$205,A1945)=1,B1945&lt;&gt;"",COUNTIFS($A$6:$A$2005,A1945,$B$6:$B$2005,B1945)=1,OR(F1945="Supported",F1945="Unsupported",F1945="Contradicted"),OR(G1945="Supported",G1945="Wrong citation",G1945="Missing citation"),OR(H1945="Yes",H1945="No"),I1945&lt;&gt;"",OR(F1945&lt;&gt;"Supported",E1945&lt;&gt;""),OR(G1945&lt;&gt;"Supported",AND(F1945="Supported",D1945&lt;&gt;"",E1945&lt;&gt;""))),"Yes","No"))</f>
        <v/>
      </c>
    </row>
    <row r="1946" spans="11:11">
      <c r="K1946" s="11">
        <f>IF(OR(A1946="",C1946=""),"",IF(AND(COUNTIF(Responses!$A$6:$A$205,A1946)=1,B1946&lt;&gt;"",COUNTIFS($A$6:$A$2005,A1946,$B$6:$B$2005,B1946)=1,OR(F1946="Supported",F1946="Unsupported",F1946="Contradicted"),OR(G1946="Supported",G1946="Wrong citation",G1946="Missing citation"),OR(H1946="Yes",H1946="No"),I1946&lt;&gt;"",OR(F1946&lt;&gt;"Supported",E1946&lt;&gt;""),OR(G1946&lt;&gt;"Supported",AND(F1946="Supported",D1946&lt;&gt;"",E1946&lt;&gt;""))),"Yes","No"))</f>
        <v/>
      </c>
    </row>
    <row r="1947" spans="11:11">
      <c r="K1947" s="11">
        <f>IF(OR(A1947="",C1947=""),"",IF(AND(COUNTIF(Responses!$A$6:$A$205,A1947)=1,B1947&lt;&gt;"",COUNTIFS($A$6:$A$2005,A1947,$B$6:$B$2005,B1947)=1,OR(F1947="Supported",F1947="Unsupported",F1947="Contradicted"),OR(G1947="Supported",G1947="Wrong citation",G1947="Missing citation"),OR(H1947="Yes",H1947="No"),I1947&lt;&gt;"",OR(F1947&lt;&gt;"Supported",E1947&lt;&gt;""),OR(G1947&lt;&gt;"Supported",AND(F1947="Supported",D1947&lt;&gt;"",E1947&lt;&gt;""))),"Yes","No"))</f>
        <v/>
      </c>
    </row>
    <row r="1948" spans="11:11">
      <c r="K1948" s="11">
        <f>IF(OR(A1948="",C1948=""),"",IF(AND(COUNTIF(Responses!$A$6:$A$205,A1948)=1,B1948&lt;&gt;"",COUNTIFS($A$6:$A$2005,A1948,$B$6:$B$2005,B1948)=1,OR(F1948="Supported",F1948="Unsupported",F1948="Contradicted"),OR(G1948="Supported",G1948="Wrong citation",G1948="Missing citation"),OR(H1948="Yes",H1948="No"),I1948&lt;&gt;"",OR(F1948&lt;&gt;"Supported",E1948&lt;&gt;""),OR(G1948&lt;&gt;"Supported",AND(F1948="Supported",D1948&lt;&gt;"",E1948&lt;&gt;""))),"Yes","No"))</f>
        <v/>
      </c>
    </row>
    <row r="1949" spans="11:11">
      <c r="K1949" s="11">
        <f>IF(OR(A1949="",C1949=""),"",IF(AND(COUNTIF(Responses!$A$6:$A$205,A1949)=1,B1949&lt;&gt;"",COUNTIFS($A$6:$A$2005,A1949,$B$6:$B$2005,B1949)=1,OR(F1949="Supported",F1949="Unsupported",F1949="Contradicted"),OR(G1949="Supported",G1949="Wrong citation",G1949="Missing citation"),OR(H1949="Yes",H1949="No"),I1949&lt;&gt;"",OR(F1949&lt;&gt;"Supported",E1949&lt;&gt;""),OR(G1949&lt;&gt;"Supported",AND(F1949="Supported",D1949&lt;&gt;"",E1949&lt;&gt;""))),"Yes","No"))</f>
        <v/>
      </c>
    </row>
    <row r="1950" spans="11:11">
      <c r="K1950" s="11">
        <f>IF(OR(A1950="",C1950=""),"",IF(AND(COUNTIF(Responses!$A$6:$A$205,A1950)=1,B1950&lt;&gt;"",COUNTIFS($A$6:$A$2005,A1950,$B$6:$B$2005,B1950)=1,OR(F1950="Supported",F1950="Unsupported",F1950="Contradicted"),OR(G1950="Supported",G1950="Wrong citation",G1950="Missing citation"),OR(H1950="Yes",H1950="No"),I1950&lt;&gt;"",OR(F1950&lt;&gt;"Supported",E1950&lt;&gt;""),OR(G1950&lt;&gt;"Supported",AND(F1950="Supported",D1950&lt;&gt;"",E1950&lt;&gt;""))),"Yes","No"))</f>
        <v/>
      </c>
    </row>
    <row r="1951" spans="11:11">
      <c r="K1951" s="11">
        <f>IF(OR(A1951="",C1951=""),"",IF(AND(COUNTIF(Responses!$A$6:$A$205,A1951)=1,B1951&lt;&gt;"",COUNTIFS($A$6:$A$2005,A1951,$B$6:$B$2005,B1951)=1,OR(F1951="Supported",F1951="Unsupported",F1951="Contradicted"),OR(G1951="Supported",G1951="Wrong citation",G1951="Missing citation"),OR(H1951="Yes",H1951="No"),I1951&lt;&gt;"",OR(F1951&lt;&gt;"Supported",E1951&lt;&gt;""),OR(G1951&lt;&gt;"Supported",AND(F1951="Supported",D1951&lt;&gt;"",E1951&lt;&gt;""))),"Yes","No"))</f>
        <v/>
      </c>
    </row>
    <row r="1952" spans="11:11">
      <c r="K1952" s="11">
        <f>IF(OR(A1952="",C1952=""),"",IF(AND(COUNTIF(Responses!$A$6:$A$205,A1952)=1,B1952&lt;&gt;"",COUNTIFS($A$6:$A$2005,A1952,$B$6:$B$2005,B1952)=1,OR(F1952="Supported",F1952="Unsupported",F1952="Contradicted"),OR(G1952="Supported",G1952="Wrong citation",G1952="Missing citation"),OR(H1952="Yes",H1952="No"),I1952&lt;&gt;"",OR(F1952&lt;&gt;"Supported",E1952&lt;&gt;""),OR(G1952&lt;&gt;"Supported",AND(F1952="Supported",D1952&lt;&gt;"",E1952&lt;&gt;""))),"Yes","No"))</f>
        <v/>
      </c>
    </row>
    <row r="1953" spans="11:11">
      <c r="K1953" s="11">
        <f>IF(OR(A1953="",C1953=""),"",IF(AND(COUNTIF(Responses!$A$6:$A$205,A1953)=1,B1953&lt;&gt;"",COUNTIFS($A$6:$A$2005,A1953,$B$6:$B$2005,B1953)=1,OR(F1953="Supported",F1953="Unsupported",F1953="Contradicted"),OR(G1953="Supported",G1953="Wrong citation",G1953="Missing citation"),OR(H1953="Yes",H1953="No"),I1953&lt;&gt;"",OR(F1953&lt;&gt;"Supported",E1953&lt;&gt;""),OR(G1953&lt;&gt;"Supported",AND(F1953="Supported",D1953&lt;&gt;"",E1953&lt;&gt;""))),"Yes","No"))</f>
        <v/>
      </c>
    </row>
    <row r="1954" spans="11:11">
      <c r="K1954" s="11">
        <f>IF(OR(A1954="",C1954=""),"",IF(AND(COUNTIF(Responses!$A$6:$A$205,A1954)=1,B1954&lt;&gt;"",COUNTIFS($A$6:$A$2005,A1954,$B$6:$B$2005,B1954)=1,OR(F1954="Supported",F1954="Unsupported",F1954="Contradicted"),OR(G1954="Supported",G1954="Wrong citation",G1954="Missing citation"),OR(H1954="Yes",H1954="No"),I1954&lt;&gt;"",OR(F1954&lt;&gt;"Supported",E1954&lt;&gt;""),OR(G1954&lt;&gt;"Supported",AND(F1954="Supported",D1954&lt;&gt;"",E1954&lt;&gt;""))),"Yes","No"))</f>
        <v/>
      </c>
    </row>
    <row r="1955" spans="11:11">
      <c r="K1955" s="11">
        <f>IF(OR(A1955="",C1955=""),"",IF(AND(COUNTIF(Responses!$A$6:$A$205,A1955)=1,B1955&lt;&gt;"",COUNTIFS($A$6:$A$2005,A1955,$B$6:$B$2005,B1955)=1,OR(F1955="Supported",F1955="Unsupported",F1955="Contradicted"),OR(G1955="Supported",G1955="Wrong citation",G1955="Missing citation"),OR(H1955="Yes",H1955="No"),I1955&lt;&gt;"",OR(F1955&lt;&gt;"Supported",E1955&lt;&gt;""),OR(G1955&lt;&gt;"Supported",AND(F1955="Supported",D1955&lt;&gt;"",E1955&lt;&gt;""))),"Yes","No"))</f>
        <v/>
      </c>
    </row>
    <row r="1956" spans="11:11">
      <c r="K1956" s="11">
        <f>IF(OR(A1956="",C1956=""),"",IF(AND(COUNTIF(Responses!$A$6:$A$205,A1956)=1,B1956&lt;&gt;"",COUNTIFS($A$6:$A$2005,A1956,$B$6:$B$2005,B1956)=1,OR(F1956="Supported",F1956="Unsupported",F1956="Contradicted"),OR(G1956="Supported",G1956="Wrong citation",G1956="Missing citation"),OR(H1956="Yes",H1956="No"),I1956&lt;&gt;"",OR(F1956&lt;&gt;"Supported",E1956&lt;&gt;""),OR(G1956&lt;&gt;"Supported",AND(F1956="Supported",D1956&lt;&gt;"",E1956&lt;&gt;""))),"Yes","No"))</f>
        <v/>
      </c>
    </row>
    <row r="1957" spans="11:11">
      <c r="K1957" s="11">
        <f>IF(OR(A1957="",C1957=""),"",IF(AND(COUNTIF(Responses!$A$6:$A$205,A1957)=1,B1957&lt;&gt;"",COUNTIFS($A$6:$A$2005,A1957,$B$6:$B$2005,B1957)=1,OR(F1957="Supported",F1957="Unsupported",F1957="Contradicted"),OR(G1957="Supported",G1957="Wrong citation",G1957="Missing citation"),OR(H1957="Yes",H1957="No"),I1957&lt;&gt;"",OR(F1957&lt;&gt;"Supported",E1957&lt;&gt;""),OR(G1957&lt;&gt;"Supported",AND(F1957="Supported",D1957&lt;&gt;"",E1957&lt;&gt;""))),"Yes","No"))</f>
        <v/>
      </c>
    </row>
    <row r="1958" spans="11:11">
      <c r="K1958" s="11">
        <f>IF(OR(A1958="",C1958=""),"",IF(AND(COUNTIF(Responses!$A$6:$A$205,A1958)=1,B1958&lt;&gt;"",COUNTIFS($A$6:$A$2005,A1958,$B$6:$B$2005,B1958)=1,OR(F1958="Supported",F1958="Unsupported",F1958="Contradicted"),OR(G1958="Supported",G1958="Wrong citation",G1958="Missing citation"),OR(H1958="Yes",H1958="No"),I1958&lt;&gt;"",OR(F1958&lt;&gt;"Supported",E1958&lt;&gt;""),OR(G1958&lt;&gt;"Supported",AND(F1958="Supported",D1958&lt;&gt;"",E1958&lt;&gt;""))),"Yes","No"))</f>
        <v/>
      </c>
    </row>
    <row r="1959" spans="11:11">
      <c r="K1959" s="11">
        <f>IF(OR(A1959="",C1959=""),"",IF(AND(COUNTIF(Responses!$A$6:$A$205,A1959)=1,B1959&lt;&gt;"",COUNTIFS($A$6:$A$2005,A1959,$B$6:$B$2005,B1959)=1,OR(F1959="Supported",F1959="Unsupported",F1959="Contradicted"),OR(G1959="Supported",G1959="Wrong citation",G1959="Missing citation"),OR(H1959="Yes",H1959="No"),I1959&lt;&gt;"",OR(F1959&lt;&gt;"Supported",E1959&lt;&gt;""),OR(G1959&lt;&gt;"Supported",AND(F1959="Supported",D1959&lt;&gt;"",E1959&lt;&gt;""))),"Yes","No"))</f>
        <v/>
      </c>
    </row>
    <row r="1960" spans="11:11">
      <c r="K1960" s="11">
        <f>IF(OR(A1960="",C1960=""),"",IF(AND(COUNTIF(Responses!$A$6:$A$205,A1960)=1,B1960&lt;&gt;"",COUNTIFS($A$6:$A$2005,A1960,$B$6:$B$2005,B1960)=1,OR(F1960="Supported",F1960="Unsupported",F1960="Contradicted"),OR(G1960="Supported",G1960="Wrong citation",G1960="Missing citation"),OR(H1960="Yes",H1960="No"),I1960&lt;&gt;"",OR(F1960&lt;&gt;"Supported",E1960&lt;&gt;""),OR(G1960&lt;&gt;"Supported",AND(F1960="Supported",D1960&lt;&gt;"",E1960&lt;&gt;""))),"Yes","No"))</f>
        <v/>
      </c>
    </row>
    <row r="1961" spans="11:11">
      <c r="K1961" s="11">
        <f>IF(OR(A1961="",C1961=""),"",IF(AND(COUNTIF(Responses!$A$6:$A$205,A1961)=1,B1961&lt;&gt;"",COUNTIFS($A$6:$A$2005,A1961,$B$6:$B$2005,B1961)=1,OR(F1961="Supported",F1961="Unsupported",F1961="Contradicted"),OR(G1961="Supported",G1961="Wrong citation",G1961="Missing citation"),OR(H1961="Yes",H1961="No"),I1961&lt;&gt;"",OR(F1961&lt;&gt;"Supported",E1961&lt;&gt;""),OR(G1961&lt;&gt;"Supported",AND(F1961="Supported",D1961&lt;&gt;"",E1961&lt;&gt;""))),"Yes","No"))</f>
        <v/>
      </c>
    </row>
    <row r="1962" spans="11:11">
      <c r="K1962" s="11">
        <f>IF(OR(A1962="",C1962=""),"",IF(AND(COUNTIF(Responses!$A$6:$A$205,A1962)=1,B1962&lt;&gt;"",COUNTIFS($A$6:$A$2005,A1962,$B$6:$B$2005,B1962)=1,OR(F1962="Supported",F1962="Unsupported",F1962="Contradicted"),OR(G1962="Supported",G1962="Wrong citation",G1962="Missing citation"),OR(H1962="Yes",H1962="No"),I1962&lt;&gt;"",OR(F1962&lt;&gt;"Supported",E1962&lt;&gt;""),OR(G1962&lt;&gt;"Supported",AND(F1962="Supported",D1962&lt;&gt;"",E1962&lt;&gt;""))),"Yes","No"))</f>
        <v/>
      </c>
    </row>
    <row r="1963" spans="11:11">
      <c r="K1963" s="11">
        <f>IF(OR(A1963="",C1963=""),"",IF(AND(COUNTIF(Responses!$A$6:$A$205,A1963)=1,B1963&lt;&gt;"",COUNTIFS($A$6:$A$2005,A1963,$B$6:$B$2005,B1963)=1,OR(F1963="Supported",F1963="Unsupported",F1963="Contradicted"),OR(G1963="Supported",G1963="Wrong citation",G1963="Missing citation"),OR(H1963="Yes",H1963="No"),I1963&lt;&gt;"",OR(F1963&lt;&gt;"Supported",E1963&lt;&gt;""),OR(G1963&lt;&gt;"Supported",AND(F1963="Supported",D1963&lt;&gt;"",E1963&lt;&gt;""))),"Yes","No"))</f>
        <v/>
      </c>
    </row>
    <row r="1964" spans="11:11">
      <c r="K1964" s="11">
        <f>IF(OR(A1964="",C1964=""),"",IF(AND(COUNTIF(Responses!$A$6:$A$205,A1964)=1,B1964&lt;&gt;"",COUNTIFS($A$6:$A$2005,A1964,$B$6:$B$2005,B1964)=1,OR(F1964="Supported",F1964="Unsupported",F1964="Contradicted"),OR(G1964="Supported",G1964="Wrong citation",G1964="Missing citation"),OR(H1964="Yes",H1964="No"),I1964&lt;&gt;"",OR(F1964&lt;&gt;"Supported",E1964&lt;&gt;""),OR(G1964&lt;&gt;"Supported",AND(F1964="Supported",D1964&lt;&gt;"",E1964&lt;&gt;""))),"Yes","No"))</f>
        <v/>
      </c>
    </row>
    <row r="1965" spans="11:11">
      <c r="K1965" s="11">
        <f>IF(OR(A1965="",C1965=""),"",IF(AND(COUNTIF(Responses!$A$6:$A$205,A1965)=1,B1965&lt;&gt;"",COUNTIFS($A$6:$A$2005,A1965,$B$6:$B$2005,B1965)=1,OR(F1965="Supported",F1965="Unsupported",F1965="Contradicted"),OR(G1965="Supported",G1965="Wrong citation",G1965="Missing citation"),OR(H1965="Yes",H1965="No"),I1965&lt;&gt;"",OR(F1965&lt;&gt;"Supported",E1965&lt;&gt;""),OR(G1965&lt;&gt;"Supported",AND(F1965="Supported",D1965&lt;&gt;"",E1965&lt;&gt;""))),"Yes","No"))</f>
        <v/>
      </c>
    </row>
    <row r="1966" spans="11:11">
      <c r="K1966" s="11">
        <f>IF(OR(A1966="",C1966=""),"",IF(AND(COUNTIF(Responses!$A$6:$A$205,A1966)=1,B1966&lt;&gt;"",COUNTIFS($A$6:$A$2005,A1966,$B$6:$B$2005,B1966)=1,OR(F1966="Supported",F1966="Unsupported",F1966="Contradicted"),OR(G1966="Supported",G1966="Wrong citation",G1966="Missing citation"),OR(H1966="Yes",H1966="No"),I1966&lt;&gt;"",OR(F1966&lt;&gt;"Supported",E1966&lt;&gt;""),OR(G1966&lt;&gt;"Supported",AND(F1966="Supported",D1966&lt;&gt;"",E1966&lt;&gt;""))),"Yes","No"))</f>
        <v/>
      </c>
    </row>
    <row r="1967" spans="11:11">
      <c r="K1967" s="11">
        <f>IF(OR(A1967="",C1967=""),"",IF(AND(COUNTIF(Responses!$A$6:$A$205,A1967)=1,B1967&lt;&gt;"",COUNTIFS($A$6:$A$2005,A1967,$B$6:$B$2005,B1967)=1,OR(F1967="Supported",F1967="Unsupported",F1967="Contradicted"),OR(G1967="Supported",G1967="Wrong citation",G1967="Missing citation"),OR(H1967="Yes",H1967="No"),I1967&lt;&gt;"",OR(F1967&lt;&gt;"Supported",E1967&lt;&gt;""),OR(G1967&lt;&gt;"Supported",AND(F1967="Supported",D1967&lt;&gt;"",E1967&lt;&gt;""))),"Yes","No"))</f>
        <v/>
      </c>
    </row>
    <row r="1968" spans="11:11">
      <c r="K1968" s="11">
        <f>IF(OR(A1968="",C1968=""),"",IF(AND(COUNTIF(Responses!$A$6:$A$205,A1968)=1,B1968&lt;&gt;"",COUNTIFS($A$6:$A$2005,A1968,$B$6:$B$2005,B1968)=1,OR(F1968="Supported",F1968="Unsupported",F1968="Contradicted"),OR(G1968="Supported",G1968="Wrong citation",G1968="Missing citation"),OR(H1968="Yes",H1968="No"),I1968&lt;&gt;"",OR(F1968&lt;&gt;"Supported",E1968&lt;&gt;""),OR(G1968&lt;&gt;"Supported",AND(F1968="Supported",D1968&lt;&gt;"",E1968&lt;&gt;""))),"Yes","No"))</f>
        <v/>
      </c>
    </row>
    <row r="1969" spans="11:11">
      <c r="K1969" s="11">
        <f>IF(OR(A1969="",C1969=""),"",IF(AND(COUNTIF(Responses!$A$6:$A$205,A1969)=1,B1969&lt;&gt;"",COUNTIFS($A$6:$A$2005,A1969,$B$6:$B$2005,B1969)=1,OR(F1969="Supported",F1969="Unsupported",F1969="Contradicted"),OR(G1969="Supported",G1969="Wrong citation",G1969="Missing citation"),OR(H1969="Yes",H1969="No"),I1969&lt;&gt;"",OR(F1969&lt;&gt;"Supported",E1969&lt;&gt;""),OR(G1969&lt;&gt;"Supported",AND(F1969="Supported",D1969&lt;&gt;"",E1969&lt;&gt;""))),"Yes","No"))</f>
        <v/>
      </c>
    </row>
    <row r="1970" spans="11:11">
      <c r="K1970" s="11">
        <f>IF(OR(A1970="",C1970=""),"",IF(AND(COUNTIF(Responses!$A$6:$A$205,A1970)=1,B1970&lt;&gt;"",COUNTIFS($A$6:$A$2005,A1970,$B$6:$B$2005,B1970)=1,OR(F1970="Supported",F1970="Unsupported",F1970="Contradicted"),OR(G1970="Supported",G1970="Wrong citation",G1970="Missing citation"),OR(H1970="Yes",H1970="No"),I1970&lt;&gt;"",OR(F1970&lt;&gt;"Supported",E1970&lt;&gt;""),OR(G1970&lt;&gt;"Supported",AND(F1970="Supported",D1970&lt;&gt;"",E1970&lt;&gt;""))),"Yes","No"))</f>
        <v/>
      </c>
    </row>
    <row r="1971" spans="11:11">
      <c r="K1971" s="11">
        <f>IF(OR(A1971="",C1971=""),"",IF(AND(COUNTIF(Responses!$A$6:$A$205,A1971)=1,B1971&lt;&gt;"",COUNTIFS($A$6:$A$2005,A1971,$B$6:$B$2005,B1971)=1,OR(F1971="Supported",F1971="Unsupported",F1971="Contradicted"),OR(G1971="Supported",G1971="Wrong citation",G1971="Missing citation"),OR(H1971="Yes",H1971="No"),I1971&lt;&gt;"",OR(F1971&lt;&gt;"Supported",E1971&lt;&gt;""),OR(G1971&lt;&gt;"Supported",AND(F1971="Supported",D1971&lt;&gt;"",E1971&lt;&gt;""))),"Yes","No"))</f>
        <v/>
      </c>
    </row>
    <row r="1972" spans="11:11">
      <c r="K1972" s="11">
        <f>IF(OR(A1972="",C1972=""),"",IF(AND(COUNTIF(Responses!$A$6:$A$205,A1972)=1,B1972&lt;&gt;"",COUNTIFS($A$6:$A$2005,A1972,$B$6:$B$2005,B1972)=1,OR(F1972="Supported",F1972="Unsupported",F1972="Contradicted"),OR(G1972="Supported",G1972="Wrong citation",G1972="Missing citation"),OR(H1972="Yes",H1972="No"),I1972&lt;&gt;"",OR(F1972&lt;&gt;"Supported",E1972&lt;&gt;""),OR(G1972&lt;&gt;"Supported",AND(F1972="Supported",D1972&lt;&gt;"",E1972&lt;&gt;""))),"Yes","No"))</f>
        <v/>
      </c>
    </row>
    <row r="1973" spans="11:11">
      <c r="K1973" s="11">
        <f>IF(OR(A1973="",C1973=""),"",IF(AND(COUNTIF(Responses!$A$6:$A$205,A1973)=1,B1973&lt;&gt;"",COUNTIFS($A$6:$A$2005,A1973,$B$6:$B$2005,B1973)=1,OR(F1973="Supported",F1973="Unsupported",F1973="Contradicted"),OR(G1973="Supported",G1973="Wrong citation",G1973="Missing citation"),OR(H1973="Yes",H1973="No"),I1973&lt;&gt;"",OR(F1973&lt;&gt;"Supported",E1973&lt;&gt;""),OR(G1973&lt;&gt;"Supported",AND(F1973="Supported",D1973&lt;&gt;"",E1973&lt;&gt;""))),"Yes","No"))</f>
        <v/>
      </c>
    </row>
    <row r="1974" spans="11:11">
      <c r="K1974" s="11">
        <f>IF(OR(A1974="",C1974=""),"",IF(AND(COUNTIF(Responses!$A$6:$A$205,A1974)=1,B1974&lt;&gt;"",COUNTIFS($A$6:$A$2005,A1974,$B$6:$B$2005,B1974)=1,OR(F1974="Supported",F1974="Unsupported",F1974="Contradicted"),OR(G1974="Supported",G1974="Wrong citation",G1974="Missing citation"),OR(H1974="Yes",H1974="No"),I1974&lt;&gt;"",OR(F1974&lt;&gt;"Supported",E1974&lt;&gt;""),OR(G1974&lt;&gt;"Supported",AND(F1974="Supported",D1974&lt;&gt;"",E1974&lt;&gt;""))),"Yes","No"))</f>
        <v/>
      </c>
    </row>
    <row r="1975" spans="11:11">
      <c r="K1975" s="11">
        <f>IF(OR(A1975="",C1975=""),"",IF(AND(COUNTIF(Responses!$A$6:$A$205,A1975)=1,B1975&lt;&gt;"",COUNTIFS($A$6:$A$2005,A1975,$B$6:$B$2005,B1975)=1,OR(F1975="Supported",F1975="Unsupported",F1975="Contradicted"),OR(G1975="Supported",G1975="Wrong citation",G1975="Missing citation"),OR(H1975="Yes",H1975="No"),I1975&lt;&gt;"",OR(F1975&lt;&gt;"Supported",E1975&lt;&gt;""),OR(G1975&lt;&gt;"Supported",AND(F1975="Supported",D1975&lt;&gt;"",E1975&lt;&gt;""))),"Yes","No"))</f>
        <v/>
      </c>
    </row>
    <row r="1976" spans="11:11">
      <c r="K1976" s="11">
        <f>IF(OR(A1976="",C1976=""),"",IF(AND(COUNTIF(Responses!$A$6:$A$205,A1976)=1,B1976&lt;&gt;"",COUNTIFS($A$6:$A$2005,A1976,$B$6:$B$2005,B1976)=1,OR(F1976="Supported",F1976="Unsupported",F1976="Contradicted"),OR(G1976="Supported",G1976="Wrong citation",G1976="Missing citation"),OR(H1976="Yes",H1976="No"),I1976&lt;&gt;"",OR(F1976&lt;&gt;"Supported",E1976&lt;&gt;""),OR(G1976&lt;&gt;"Supported",AND(F1976="Supported",D1976&lt;&gt;"",E1976&lt;&gt;""))),"Yes","No"))</f>
        <v/>
      </c>
    </row>
    <row r="1977" spans="11:11">
      <c r="K1977" s="11">
        <f>IF(OR(A1977="",C1977=""),"",IF(AND(COUNTIF(Responses!$A$6:$A$205,A1977)=1,B1977&lt;&gt;"",COUNTIFS($A$6:$A$2005,A1977,$B$6:$B$2005,B1977)=1,OR(F1977="Supported",F1977="Unsupported",F1977="Contradicted"),OR(G1977="Supported",G1977="Wrong citation",G1977="Missing citation"),OR(H1977="Yes",H1977="No"),I1977&lt;&gt;"",OR(F1977&lt;&gt;"Supported",E1977&lt;&gt;""),OR(G1977&lt;&gt;"Supported",AND(F1977="Supported",D1977&lt;&gt;"",E1977&lt;&gt;""))),"Yes","No"))</f>
        <v/>
      </c>
    </row>
    <row r="1978" spans="11:11">
      <c r="K1978" s="11">
        <f>IF(OR(A1978="",C1978=""),"",IF(AND(COUNTIF(Responses!$A$6:$A$205,A1978)=1,B1978&lt;&gt;"",COUNTIFS($A$6:$A$2005,A1978,$B$6:$B$2005,B1978)=1,OR(F1978="Supported",F1978="Unsupported",F1978="Contradicted"),OR(G1978="Supported",G1978="Wrong citation",G1978="Missing citation"),OR(H1978="Yes",H1978="No"),I1978&lt;&gt;"",OR(F1978&lt;&gt;"Supported",E1978&lt;&gt;""),OR(G1978&lt;&gt;"Supported",AND(F1978="Supported",D1978&lt;&gt;"",E1978&lt;&gt;""))),"Yes","No"))</f>
        <v/>
      </c>
    </row>
    <row r="1979" spans="11:11">
      <c r="K1979" s="11">
        <f>IF(OR(A1979="",C1979=""),"",IF(AND(COUNTIF(Responses!$A$6:$A$205,A1979)=1,B1979&lt;&gt;"",COUNTIFS($A$6:$A$2005,A1979,$B$6:$B$2005,B1979)=1,OR(F1979="Supported",F1979="Unsupported",F1979="Contradicted"),OR(G1979="Supported",G1979="Wrong citation",G1979="Missing citation"),OR(H1979="Yes",H1979="No"),I1979&lt;&gt;"",OR(F1979&lt;&gt;"Supported",E1979&lt;&gt;""),OR(G1979&lt;&gt;"Supported",AND(F1979="Supported",D1979&lt;&gt;"",E1979&lt;&gt;""))),"Yes","No"))</f>
        <v/>
      </c>
    </row>
    <row r="1980" spans="11:11">
      <c r="K1980" s="11">
        <f>IF(OR(A1980="",C1980=""),"",IF(AND(COUNTIF(Responses!$A$6:$A$205,A1980)=1,B1980&lt;&gt;"",COUNTIFS($A$6:$A$2005,A1980,$B$6:$B$2005,B1980)=1,OR(F1980="Supported",F1980="Unsupported",F1980="Contradicted"),OR(G1980="Supported",G1980="Wrong citation",G1980="Missing citation"),OR(H1980="Yes",H1980="No"),I1980&lt;&gt;"",OR(F1980&lt;&gt;"Supported",E1980&lt;&gt;""),OR(G1980&lt;&gt;"Supported",AND(F1980="Supported",D1980&lt;&gt;"",E1980&lt;&gt;""))),"Yes","No"))</f>
        <v/>
      </c>
    </row>
    <row r="1981" spans="11:11">
      <c r="K1981" s="11">
        <f>IF(OR(A1981="",C1981=""),"",IF(AND(COUNTIF(Responses!$A$6:$A$205,A1981)=1,B1981&lt;&gt;"",COUNTIFS($A$6:$A$2005,A1981,$B$6:$B$2005,B1981)=1,OR(F1981="Supported",F1981="Unsupported",F1981="Contradicted"),OR(G1981="Supported",G1981="Wrong citation",G1981="Missing citation"),OR(H1981="Yes",H1981="No"),I1981&lt;&gt;"",OR(F1981&lt;&gt;"Supported",E1981&lt;&gt;""),OR(G1981&lt;&gt;"Supported",AND(F1981="Supported",D1981&lt;&gt;"",E1981&lt;&gt;""))),"Yes","No"))</f>
        <v/>
      </c>
    </row>
    <row r="1982" spans="11:11">
      <c r="K1982" s="11">
        <f>IF(OR(A1982="",C1982=""),"",IF(AND(COUNTIF(Responses!$A$6:$A$205,A1982)=1,B1982&lt;&gt;"",COUNTIFS($A$6:$A$2005,A1982,$B$6:$B$2005,B1982)=1,OR(F1982="Supported",F1982="Unsupported",F1982="Contradicted"),OR(G1982="Supported",G1982="Wrong citation",G1982="Missing citation"),OR(H1982="Yes",H1982="No"),I1982&lt;&gt;"",OR(F1982&lt;&gt;"Supported",E1982&lt;&gt;""),OR(G1982&lt;&gt;"Supported",AND(F1982="Supported",D1982&lt;&gt;"",E1982&lt;&gt;""))),"Yes","No"))</f>
        <v/>
      </c>
    </row>
    <row r="1983" spans="11:11">
      <c r="K1983" s="11">
        <f>IF(OR(A1983="",C1983=""),"",IF(AND(COUNTIF(Responses!$A$6:$A$205,A1983)=1,B1983&lt;&gt;"",COUNTIFS($A$6:$A$2005,A1983,$B$6:$B$2005,B1983)=1,OR(F1983="Supported",F1983="Unsupported",F1983="Contradicted"),OR(G1983="Supported",G1983="Wrong citation",G1983="Missing citation"),OR(H1983="Yes",H1983="No"),I1983&lt;&gt;"",OR(F1983&lt;&gt;"Supported",E1983&lt;&gt;""),OR(G1983&lt;&gt;"Supported",AND(F1983="Supported",D1983&lt;&gt;"",E1983&lt;&gt;""))),"Yes","No"))</f>
        <v/>
      </c>
    </row>
    <row r="1984" spans="11:11">
      <c r="K1984" s="11">
        <f>IF(OR(A1984="",C1984=""),"",IF(AND(COUNTIF(Responses!$A$6:$A$205,A1984)=1,B1984&lt;&gt;"",COUNTIFS($A$6:$A$2005,A1984,$B$6:$B$2005,B1984)=1,OR(F1984="Supported",F1984="Unsupported",F1984="Contradicted"),OR(G1984="Supported",G1984="Wrong citation",G1984="Missing citation"),OR(H1984="Yes",H1984="No"),I1984&lt;&gt;"",OR(F1984&lt;&gt;"Supported",E1984&lt;&gt;""),OR(G1984&lt;&gt;"Supported",AND(F1984="Supported",D1984&lt;&gt;"",E1984&lt;&gt;""))),"Yes","No"))</f>
        <v/>
      </c>
    </row>
    <row r="1985" spans="11:11">
      <c r="K1985" s="11">
        <f>IF(OR(A1985="",C1985=""),"",IF(AND(COUNTIF(Responses!$A$6:$A$205,A1985)=1,B1985&lt;&gt;"",COUNTIFS($A$6:$A$2005,A1985,$B$6:$B$2005,B1985)=1,OR(F1985="Supported",F1985="Unsupported",F1985="Contradicted"),OR(G1985="Supported",G1985="Wrong citation",G1985="Missing citation"),OR(H1985="Yes",H1985="No"),I1985&lt;&gt;"",OR(F1985&lt;&gt;"Supported",E1985&lt;&gt;""),OR(G1985&lt;&gt;"Supported",AND(F1985="Supported",D1985&lt;&gt;"",E1985&lt;&gt;""))),"Yes","No"))</f>
        <v/>
      </c>
    </row>
    <row r="1986" spans="11:11">
      <c r="K1986" s="11">
        <f>IF(OR(A1986="",C1986=""),"",IF(AND(COUNTIF(Responses!$A$6:$A$205,A1986)=1,B1986&lt;&gt;"",COUNTIFS($A$6:$A$2005,A1986,$B$6:$B$2005,B1986)=1,OR(F1986="Supported",F1986="Unsupported",F1986="Contradicted"),OR(G1986="Supported",G1986="Wrong citation",G1986="Missing citation"),OR(H1986="Yes",H1986="No"),I1986&lt;&gt;"",OR(F1986&lt;&gt;"Supported",E1986&lt;&gt;""),OR(G1986&lt;&gt;"Supported",AND(F1986="Supported",D1986&lt;&gt;"",E1986&lt;&gt;""))),"Yes","No"))</f>
        <v/>
      </c>
    </row>
    <row r="1987" spans="11:11">
      <c r="K1987" s="11">
        <f>IF(OR(A1987="",C1987=""),"",IF(AND(COUNTIF(Responses!$A$6:$A$205,A1987)=1,B1987&lt;&gt;"",COUNTIFS($A$6:$A$2005,A1987,$B$6:$B$2005,B1987)=1,OR(F1987="Supported",F1987="Unsupported",F1987="Contradicted"),OR(G1987="Supported",G1987="Wrong citation",G1987="Missing citation"),OR(H1987="Yes",H1987="No"),I1987&lt;&gt;"",OR(F1987&lt;&gt;"Supported",E1987&lt;&gt;""),OR(G1987&lt;&gt;"Supported",AND(F1987="Supported",D1987&lt;&gt;"",E1987&lt;&gt;""))),"Yes","No"))</f>
        <v/>
      </c>
    </row>
    <row r="1988" spans="11:11">
      <c r="K1988" s="11">
        <f>IF(OR(A1988="",C1988=""),"",IF(AND(COUNTIF(Responses!$A$6:$A$205,A1988)=1,B1988&lt;&gt;"",COUNTIFS($A$6:$A$2005,A1988,$B$6:$B$2005,B1988)=1,OR(F1988="Supported",F1988="Unsupported",F1988="Contradicted"),OR(G1988="Supported",G1988="Wrong citation",G1988="Missing citation"),OR(H1988="Yes",H1988="No"),I1988&lt;&gt;"",OR(F1988&lt;&gt;"Supported",E1988&lt;&gt;""),OR(G1988&lt;&gt;"Supported",AND(F1988="Supported",D1988&lt;&gt;"",E1988&lt;&gt;""))),"Yes","No"))</f>
        <v/>
      </c>
    </row>
    <row r="1989" spans="11:11">
      <c r="K1989" s="11">
        <f>IF(OR(A1989="",C1989=""),"",IF(AND(COUNTIF(Responses!$A$6:$A$205,A1989)=1,B1989&lt;&gt;"",COUNTIFS($A$6:$A$2005,A1989,$B$6:$B$2005,B1989)=1,OR(F1989="Supported",F1989="Unsupported",F1989="Contradicted"),OR(G1989="Supported",G1989="Wrong citation",G1989="Missing citation"),OR(H1989="Yes",H1989="No"),I1989&lt;&gt;"",OR(F1989&lt;&gt;"Supported",E1989&lt;&gt;""),OR(G1989&lt;&gt;"Supported",AND(F1989="Supported",D1989&lt;&gt;"",E1989&lt;&gt;""))),"Yes","No"))</f>
        <v/>
      </c>
    </row>
    <row r="1990" spans="11:11">
      <c r="K1990" s="11">
        <f>IF(OR(A1990="",C1990=""),"",IF(AND(COUNTIF(Responses!$A$6:$A$205,A1990)=1,B1990&lt;&gt;"",COUNTIFS($A$6:$A$2005,A1990,$B$6:$B$2005,B1990)=1,OR(F1990="Supported",F1990="Unsupported",F1990="Contradicted"),OR(G1990="Supported",G1990="Wrong citation",G1990="Missing citation"),OR(H1990="Yes",H1990="No"),I1990&lt;&gt;"",OR(F1990&lt;&gt;"Supported",E1990&lt;&gt;""),OR(G1990&lt;&gt;"Supported",AND(F1990="Supported",D1990&lt;&gt;"",E1990&lt;&gt;""))),"Yes","No"))</f>
        <v/>
      </c>
    </row>
    <row r="1991" spans="11:11">
      <c r="K1991" s="11">
        <f>IF(OR(A1991="",C1991=""),"",IF(AND(COUNTIF(Responses!$A$6:$A$205,A1991)=1,B1991&lt;&gt;"",COUNTIFS($A$6:$A$2005,A1991,$B$6:$B$2005,B1991)=1,OR(F1991="Supported",F1991="Unsupported",F1991="Contradicted"),OR(G1991="Supported",G1991="Wrong citation",G1991="Missing citation"),OR(H1991="Yes",H1991="No"),I1991&lt;&gt;"",OR(F1991&lt;&gt;"Supported",E1991&lt;&gt;""),OR(G1991&lt;&gt;"Supported",AND(F1991="Supported",D1991&lt;&gt;"",E1991&lt;&gt;""))),"Yes","No"))</f>
        <v/>
      </c>
    </row>
    <row r="1992" spans="11:11">
      <c r="K1992" s="11">
        <f>IF(OR(A1992="",C1992=""),"",IF(AND(COUNTIF(Responses!$A$6:$A$205,A1992)=1,B1992&lt;&gt;"",COUNTIFS($A$6:$A$2005,A1992,$B$6:$B$2005,B1992)=1,OR(F1992="Supported",F1992="Unsupported",F1992="Contradicted"),OR(G1992="Supported",G1992="Wrong citation",G1992="Missing citation"),OR(H1992="Yes",H1992="No"),I1992&lt;&gt;"",OR(F1992&lt;&gt;"Supported",E1992&lt;&gt;""),OR(G1992&lt;&gt;"Supported",AND(F1992="Supported",D1992&lt;&gt;"",E1992&lt;&gt;""))),"Yes","No"))</f>
        <v/>
      </c>
    </row>
    <row r="1993" spans="11:11">
      <c r="K1993" s="11">
        <f>IF(OR(A1993="",C1993=""),"",IF(AND(COUNTIF(Responses!$A$6:$A$205,A1993)=1,B1993&lt;&gt;"",COUNTIFS($A$6:$A$2005,A1993,$B$6:$B$2005,B1993)=1,OR(F1993="Supported",F1993="Unsupported",F1993="Contradicted"),OR(G1993="Supported",G1993="Wrong citation",G1993="Missing citation"),OR(H1993="Yes",H1993="No"),I1993&lt;&gt;"",OR(F1993&lt;&gt;"Supported",E1993&lt;&gt;""),OR(G1993&lt;&gt;"Supported",AND(F1993="Supported",D1993&lt;&gt;"",E1993&lt;&gt;""))),"Yes","No"))</f>
        <v/>
      </c>
    </row>
    <row r="1994" spans="11:11">
      <c r="K1994" s="11">
        <f>IF(OR(A1994="",C1994=""),"",IF(AND(COUNTIF(Responses!$A$6:$A$205,A1994)=1,B1994&lt;&gt;"",COUNTIFS($A$6:$A$2005,A1994,$B$6:$B$2005,B1994)=1,OR(F1994="Supported",F1994="Unsupported",F1994="Contradicted"),OR(G1994="Supported",G1994="Wrong citation",G1994="Missing citation"),OR(H1994="Yes",H1994="No"),I1994&lt;&gt;"",OR(F1994&lt;&gt;"Supported",E1994&lt;&gt;""),OR(G1994&lt;&gt;"Supported",AND(F1994="Supported",D1994&lt;&gt;"",E1994&lt;&gt;""))),"Yes","No"))</f>
        <v/>
      </c>
    </row>
    <row r="1995" spans="11:11">
      <c r="K1995" s="11">
        <f>IF(OR(A1995="",C1995=""),"",IF(AND(COUNTIF(Responses!$A$6:$A$205,A1995)=1,B1995&lt;&gt;"",COUNTIFS($A$6:$A$2005,A1995,$B$6:$B$2005,B1995)=1,OR(F1995="Supported",F1995="Unsupported",F1995="Contradicted"),OR(G1995="Supported",G1995="Wrong citation",G1995="Missing citation"),OR(H1995="Yes",H1995="No"),I1995&lt;&gt;"",OR(F1995&lt;&gt;"Supported",E1995&lt;&gt;""),OR(G1995&lt;&gt;"Supported",AND(F1995="Supported",D1995&lt;&gt;"",E1995&lt;&gt;""))),"Yes","No"))</f>
        <v/>
      </c>
    </row>
    <row r="1996" spans="11:11">
      <c r="K1996" s="11">
        <f>IF(OR(A1996="",C1996=""),"",IF(AND(COUNTIF(Responses!$A$6:$A$205,A1996)=1,B1996&lt;&gt;"",COUNTIFS($A$6:$A$2005,A1996,$B$6:$B$2005,B1996)=1,OR(F1996="Supported",F1996="Unsupported",F1996="Contradicted"),OR(G1996="Supported",G1996="Wrong citation",G1996="Missing citation"),OR(H1996="Yes",H1996="No"),I1996&lt;&gt;"",OR(F1996&lt;&gt;"Supported",E1996&lt;&gt;""),OR(G1996&lt;&gt;"Supported",AND(F1996="Supported",D1996&lt;&gt;"",E1996&lt;&gt;""))),"Yes","No"))</f>
        <v/>
      </c>
    </row>
    <row r="1997" spans="11:11">
      <c r="K1997" s="11">
        <f>IF(OR(A1997="",C1997=""),"",IF(AND(COUNTIF(Responses!$A$6:$A$205,A1997)=1,B1997&lt;&gt;"",COUNTIFS($A$6:$A$2005,A1997,$B$6:$B$2005,B1997)=1,OR(F1997="Supported",F1997="Unsupported",F1997="Contradicted"),OR(G1997="Supported",G1997="Wrong citation",G1997="Missing citation"),OR(H1997="Yes",H1997="No"),I1997&lt;&gt;"",OR(F1997&lt;&gt;"Supported",E1997&lt;&gt;""),OR(G1997&lt;&gt;"Supported",AND(F1997="Supported",D1997&lt;&gt;"",E1997&lt;&gt;""))),"Yes","No"))</f>
        <v/>
      </c>
    </row>
    <row r="1998" spans="11:11">
      <c r="K1998" s="11">
        <f>IF(OR(A1998="",C1998=""),"",IF(AND(COUNTIF(Responses!$A$6:$A$205,A1998)=1,B1998&lt;&gt;"",COUNTIFS($A$6:$A$2005,A1998,$B$6:$B$2005,B1998)=1,OR(F1998="Supported",F1998="Unsupported",F1998="Contradicted"),OR(G1998="Supported",G1998="Wrong citation",G1998="Missing citation"),OR(H1998="Yes",H1998="No"),I1998&lt;&gt;"",OR(F1998&lt;&gt;"Supported",E1998&lt;&gt;""),OR(G1998&lt;&gt;"Supported",AND(F1998="Supported",D1998&lt;&gt;"",E1998&lt;&gt;""))),"Yes","No"))</f>
        <v/>
      </c>
    </row>
    <row r="1999" spans="11:11">
      <c r="K1999" s="11">
        <f>IF(OR(A1999="",C1999=""),"",IF(AND(COUNTIF(Responses!$A$6:$A$205,A1999)=1,B1999&lt;&gt;"",COUNTIFS($A$6:$A$2005,A1999,$B$6:$B$2005,B1999)=1,OR(F1999="Supported",F1999="Unsupported",F1999="Contradicted"),OR(G1999="Supported",G1999="Wrong citation",G1999="Missing citation"),OR(H1999="Yes",H1999="No"),I1999&lt;&gt;"",OR(F1999&lt;&gt;"Supported",E1999&lt;&gt;""),OR(G1999&lt;&gt;"Supported",AND(F1999="Supported",D1999&lt;&gt;"",E1999&lt;&gt;""))),"Yes","No"))</f>
        <v/>
      </c>
    </row>
    <row r="2000" spans="11:11">
      <c r="K2000" s="11">
        <f>IF(OR(A2000="",C2000=""),"",IF(AND(COUNTIF(Responses!$A$6:$A$205,A2000)=1,B2000&lt;&gt;"",COUNTIFS($A$6:$A$2005,A2000,$B$6:$B$2005,B2000)=1,OR(F2000="Supported",F2000="Unsupported",F2000="Contradicted"),OR(G2000="Supported",G2000="Wrong citation",G2000="Missing citation"),OR(H2000="Yes",H2000="No"),I2000&lt;&gt;"",OR(F2000&lt;&gt;"Supported",E2000&lt;&gt;""),OR(G2000&lt;&gt;"Supported",AND(F2000="Supported",D2000&lt;&gt;"",E2000&lt;&gt;""))),"Yes","No"))</f>
        <v/>
      </c>
    </row>
    <row r="2001" spans="11:11">
      <c r="K2001" s="11">
        <f>IF(OR(A2001="",C2001=""),"",IF(AND(COUNTIF(Responses!$A$6:$A$205,A2001)=1,B2001&lt;&gt;"",COUNTIFS($A$6:$A$2005,A2001,$B$6:$B$2005,B2001)=1,OR(F2001="Supported",F2001="Unsupported",F2001="Contradicted"),OR(G2001="Supported",G2001="Wrong citation",G2001="Missing citation"),OR(H2001="Yes",H2001="No"),I2001&lt;&gt;"",OR(F2001&lt;&gt;"Supported",E2001&lt;&gt;""),OR(G2001&lt;&gt;"Supported",AND(F2001="Supported",D2001&lt;&gt;"",E2001&lt;&gt;""))),"Yes","No"))</f>
        <v/>
      </c>
    </row>
    <row r="2002" spans="11:11">
      <c r="K2002" s="11">
        <f>IF(OR(A2002="",C2002=""),"",IF(AND(COUNTIF(Responses!$A$6:$A$205,A2002)=1,B2002&lt;&gt;"",COUNTIFS($A$6:$A$2005,A2002,$B$6:$B$2005,B2002)=1,OR(F2002="Supported",F2002="Unsupported",F2002="Contradicted"),OR(G2002="Supported",G2002="Wrong citation",G2002="Missing citation"),OR(H2002="Yes",H2002="No"),I2002&lt;&gt;"",OR(F2002&lt;&gt;"Supported",E2002&lt;&gt;""),OR(G2002&lt;&gt;"Supported",AND(F2002="Supported",D2002&lt;&gt;"",E2002&lt;&gt;""))),"Yes","No"))</f>
        <v/>
      </c>
    </row>
    <row r="2003" spans="11:11">
      <c r="K2003" s="11">
        <f>IF(OR(A2003="",C2003=""),"",IF(AND(COUNTIF(Responses!$A$6:$A$205,A2003)=1,B2003&lt;&gt;"",COUNTIFS($A$6:$A$2005,A2003,$B$6:$B$2005,B2003)=1,OR(F2003="Supported",F2003="Unsupported",F2003="Contradicted"),OR(G2003="Supported",G2003="Wrong citation",G2003="Missing citation"),OR(H2003="Yes",H2003="No"),I2003&lt;&gt;"",OR(F2003&lt;&gt;"Supported",E2003&lt;&gt;""),OR(G2003&lt;&gt;"Supported",AND(F2003="Supported",D2003&lt;&gt;"",E2003&lt;&gt;""))),"Yes","No"))</f>
        <v/>
      </c>
    </row>
    <row r="2004" spans="11:11">
      <c r="K2004" s="11">
        <f>IF(OR(A2004="",C2004=""),"",IF(AND(COUNTIF(Responses!$A$6:$A$205,A2004)=1,B2004&lt;&gt;"",COUNTIFS($A$6:$A$2005,A2004,$B$6:$B$2005,B2004)=1,OR(F2004="Supported",F2004="Unsupported",F2004="Contradicted"),OR(G2004="Supported",G2004="Wrong citation",G2004="Missing citation"),OR(H2004="Yes",H2004="No"),I2004&lt;&gt;"",OR(F2004&lt;&gt;"Supported",E2004&lt;&gt;""),OR(G2004&lt;&gt;"Supported",AND(F2004="Supported",D2004&lt;&gt;"",E2004&lt;&gt;""))),"Yes","No"))</f>
        <v/>
      </c>
    </row>
    <row r="2005" spans="11:11">
      <c r="K2005" s="11">
        <f>IF(OR(A2005="",C2005=""),"",IF(AND(COUNTIF(Responses!$A$6:$A$205,A2005)=1,B2005&lt;&gt;"",COUNTIFS($A$6:$A$2005,A2005,$B$6:$B$2005,B2005)=1,OR(F2005="Supported",F2005="Unsupported",F2005="Contradicted"),OR(G2005="Supported",G2005="Wrong citation",G2005="Missing citation"),OR(H2005="Yes",H2005="No"),I2005&lt;&gt;"",OR(F2005&lt;&gt;"Supported",E2005&lt;&gt;""),OR(G2005&lt;&gt;"Supported",AND(F2005="Supported",D2005&lt;&gt;"",E2005&lt;&gt;""))),"Yes","No"))</f>
        <v/>
      </c>
    </row>
  </sheetData>
  <mergeCells count="2">
    <mergeCell ref="A1:K1"/>
    <mergeCell ref="A2:K3"/>
  </mergeCells>
  <conditionalFormatting sqref="F6:F2005">
    <cfRule type="containsText" dxfId="0" priority="1" operator="containsText" text="Unsupported">
      <formula>NOT(ISERROR(SEARCH("Unsupported",F6)))</formula>
    </cfRule>
    <cfRule type="containsText" dxfId="0" priority="2" operator="containsText" text="Contradicted">
      <formula>NOT(ISERROR(SEARCH("Contradicted",F6)))</formula>
    </cfRule>
  </conditionalFormatting>
  <conditionalFormatting sqref="H6:H2005">
    <cfRule type="cellIs" dxfId="0" priority="3" operator="equal">
      <formula>"Yes"</formula>
    </cfRule>
  </conditionalFormatting>
  <dataValidations count="3">
    <dataValidation type="list" allowBlank="1" showInputMessage="1" showErrorMessage="1" errorTitle="Choose a listed value" error="Use the dropdown so the scoring formulas can interpret the review." promptTitle="Reviewer input" prompt="Choose a value from the list." sqref="F6:F2005">
      <formula1>"Supported,Unsupported,Contradicted,Not reviewed"</formula1>
    </dataValidation>
    <dataValidation type="list" allowBlank="1" showInputMessage="1" showErrorMessage="1" errorTitle="Choose a listed value" error="Use the dropdown so the scoring formulas can interpret the review." promptTitle="Reviewer input" prompt="Choose a value from the list." sqref="G6:G2005">
      <formula1>"Supported,Wrong citation,Missing citation,Not reviewed"</formula1>
    </dataValidation>
    <dataValidation type="list" allowBlank="1" showInputMessage="1" showErrorMessage="1" errorTitle="Choose a listed value" error="Use the dropdown so the scoring formulas can interpret the review." promptTitle="Reviewer input" prompt="Choose a value from the list." sqref="H6:H2005">
      <formula1>"Yes,No,Not reviewed"</formula1>
    </dataValidation>
  </dataValidations>
  <pageMargins left="0.7" right="0.7" top="0.75" bottom="0.75" header="0.3" footer="0.3"/>
  <pageSetup paperSize="9"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sheetPr>
    <tabColor rgb="FF087F8C"/>
    <pageSetUpPr fitToPage="1"/>
  </sheetPr>
  <dimension ref="A1:E17"/>
  <sheetViews>
    <sheetView showGridLines="0" workbookViewId="0">
      <pane xSplit="2" ySplit="5" topLeftCell="C6" activePane="bottomRight" state="frozen"/>
      <selection pane="topRight" activeCell="C1" sqref="C1"/>
      <selection pane="bottomLeft" activeCell="A6" sqref="A6"/>
      <selection pane="bottomRight"/>
    </sheetView>
  </sheetViews>
  <sheetFormatPr defaultRowHeight="15"/>
  <cols>
    <col min="1" max="1" width="14.7109375" customWidth="1"/>
    <col min="2" max="2" width="46.7109375" customWidth="1"/>
    <col min="3" max="3" width="48.7109375" customWidth="1"/>
    <col min="4" max="4" width="44.7109375" customWidth="1"/>
    <col min="5" max="5" width="110.7109375" style="4" customWidth="1"/>
  </cols>
  <sheetData>
    <row r="1" spans="1:5" ht="33" customHeight="1">
      <c r="A1" s="1" t="s">
        <v>147</v>
      </c>
      <c r="B1" s="1"/>
      <c r="C1" s="1"/>
      <c r="D1" s="1"/>
      <c r="E1" s="1"/>
    </row>
    <row r="2" spans="1:5" ht="22" customHeight="1">
      <c r="A2" s="2" t="s">
        <v>148</v>
      </c>
      <c r="B2" s="2"/>
      <c r="C2" s="2"/>
      <c r="D2" s="2"/>
      <c r="E2" s="2"/>
    </row>
    <row r="3" spans="1:5" ht="22" customHeight="1">
      <c r="A3" s="2"/>
      <c r="B3" s="2"/>
      <c r="C3" s="2"/>
      <c r="D3" s="2"/>
      <c r="E3" s="2"/>
    </row>
    <row r="5" spans="1:5" ht="38" customHeight="1">
      <c r="A5" s="10" t="s">
        <v>149</v>
      </c>
      <c r="B5" s="10" t="s">
        <v>150</v>
      </c>
      <c r="C5" s="10" t="s">
        <v>151</v>
      </c>
      <c r="D5" s="10" t="s">
        <v>152</v>
      </c>
      <c r="E5" s="10" t="s">
        <v>153</v>
      </c>
    </row>
    <row r="6" spans="1:5" ht="320" customHeight="1">
      <c r="A6" t="s">
        <v>46</v>
      </c>
      <c r="B6" t="s">
        <v>154</v>
      </c>
      <c r="C6" s="5" t="s">
        <v>155</v>
      </c>
      <c r="D6" t="s">
        <v>156</v>
      </c>
      <c r="E6" s="4" t="s">
        <v>157</v>
      </c>
    </row>
    <row r="7" spans="1:5" ht="320" customHeight="1">
      <c r="A7" t="s">
        <v>52</v>
      </c>
      <c r="B7" t="s">
        <v>158</v>
      </c>
      <c r="C7" s="5" t="s">
        <v>155</v>
      </c>
      <c r="D7" t="s">
        <v>159</v>
      </c>
      <c r="E7" s="4" t="s">
        <v>160</v>
      </c>
    </row>
    <row r="8" spans="1:5" ht="320" customHeight="1">
      <c r="A8" t="s">
        <v>58</v>
      </c>
      <c r="B8" t="s">
        <v>161</v>
      </c>
      <c r="C8" s="5" t="s">
        <v>155</v>
      </c>
      <c r="D8" t="s">
        <v>162</v>
      </c>
      <c r="E8" s="4" t="s">
        <v>163</v>
      </c>
    </row>
    <row r="9" spans="1:5" ht="320" customHeight="1">
      <c r="A9" t="s">
        <v>63</v>
      </c>
      <c r="B9" t="s">
        <v>164</v>
      </c>
      <c r="C9" s="5" t="s">
        <v>155</v>
      </c>
      <c r="D9" t="s">
        <v>165</v>
      </c>
      <c r="E9" s="4" t="s">
        <v>166</v>
      </c>
    </row>
    <row r="10" spans="1:5" ht="320" customHeight="1">
      <c r="A10" t="s">
        <v>69</v>
      </c>
      <c r="B10" t="s">
        <v>167</v>
      </c>
      <c r="C10" s="5" t="s">
        <v>155</v>
      </c>
      <c r="D10" t="s">
        <v>168</v>
      </c>
      <c r="E10" s="4" t="s">
        <v>169</v>
      </c>
    </row>
    <row r="11" spans="1:5" ht="320" customHeight="1">
      <c r="A11" t="s">
        <v>75</v>
      </c>
      <c r="B11" t="s">
        <v>170</v>
      </c>
      <c r="C11" s="5" t="s">
        <v>155</v>
      </c>
      <c r="D11" t="s">
        <v>171</v>
      </c>
      <c r="E11" s="4" t="s">
        <v>172</v>
      </c>
    </row>
    <row r="12" spans="1:5" ht="320" customHeight="1">
      <c r="A12" t="s">
        <v>81</v>
      </c>
      <c r="B12" t="s">
        <v>173</v>
      </c>
      <c r="C12" s="5" t="s">
        <v>155</v>
      </c>
      <c r="D12" t="s">
        <v>174</v>
      </c>
      <c r="E12" s="4" t="s">
        <v>175</v>
      </c>
    </row>
    <row r="13" spans="1:5" ht="320" customHeight="1">
      <c r="A13" t="s">
        <v>87</v>
      </c>
      <c r="B13" t="s">
        <v>176</v>
      </c>
      <c r="C13" s="5" t="s">
        <v>155</v>
      </c>
      <c r="D13" t="s">
        <v>177</v>
      </c>
      <c r="E13" s="4" t="s">
        <v>178</v>
      </c>
    </row>
    <row r="14" spans="1:5" ht="320" customHeight="1">
      <c r="A14" t="s">
        <v>92</v>
      </c>
      <c r="B14" t="s">
        <v>179</v>
      </c>
      <c r="C14" s="5" t="s">
        <v>155</v>
      </c>
      <c r="D14" t="s">
        <v>180</v>
      </c>
      <c r="E14" s="4" t="s">
        <v>181</v>
      </c>
    </row>
    <row r="15" spans="1:5" ht="320" customHeight="1">
      <c r="A15" t="s">
        <v>98</v>
      </c>
      <c r="B15" t="s">
        <v>182</v>
      </c>
      <c r="C15" s="5" t="s">
        <v>155</v>
      </c>
      <c r="D15" t="s">
        <v>183</v>
      </c>
      <c r="E15" s="4" t="s">
        <v>184</v>
      </c>
    </row>
    <row r="16" spans="1:5" ht="320" customHeight="1">
      <c r="A16" t="s">
        <v>104</v>
      </c>
      <c r="B16" t="s">
        <v>185</v>
      </c>
      <c r="C16" s="5" t="s">
        <v>155</v>
      </c>
      <c r="D16" t="s">
        <v>186</v>
      </c>
      <c r="E16" s="4" t="s">
        <v>187</v>
      </c>
    </row>
    <row r="17" spans="1:5" ht="320" customHeight="1">
      <c r="A17" t="s">
        <v>110</v>
      </c>
      <c r="B17" t="s">
        <v>188</v>
      </c>
      <c r="C17" s="5" t="s">
        <v>155</v>
      </c>
      <c r="D17" t="s">
        <v>189</v>
      </c>
      <c r="E17" s="4" t="s">
        <v>190</v>
      </c>
    </row>
  </sheetData>
  <mergeCells count="2">
    <mergeCell ref="A1:E1"/>
    <mergeCell ref="A2:E3"/>
  </mergeCells>
  <hyperlinks>
    <hyperlink ref="C6" r:id="rId1"/>
    <hyperlink ref="C7" r:id="rId2"/>
    <hyperlink ref="C8" r:id="rId3"/>
    <hyperlink ref="C9" r:id="rId4"/>
    <hyperlink ref="C10" r:id="rId5"/>
    <hyperlink ref="C11" r:id="rId6"/>
    <hyperlink ref="C12" r:id="rId7"/>
    <hyperlink ref="C13" r:id="rId8"/>
    <hyperlink ref="C14" r:id="rId9"/>
    <hyperlink ref="C15" r:id="rId10"/>
    <hyperlink ref="C16" r:id="rId11"/>
    <hyperlink ref="C17" r:id="rId12"/>
  </hyperlinks>
  <pageMargins left="0.7" right="0.7" top="0.75" bottom="0.75" header="0.3" footer="0.3"/>
  <pageSetup paperSize="9" fitToHeight="0" orientation="landscape"/>
  <tableParts count="1">
    <tablePart r:id="rId13"/>
  </tableParts>
</worksheet>
</file>

<file path=xl/worksheets/sheet7.xml><?xml version="1.0" encoding="utf-8"?>
<worksheet xmlns="http://schemas.openxmlformats.org/spreadsheetml/2006/main" xmlns:r="http://schemas.openxmlformats.org/officeDocument/2006/relationships">
  <sheetPr>
    <tabColor rgb="FF087F8C"/>
    <pageSetUpPr fitToPage="1"/>
  </sheetPr>
  <dimension ref="A1:F15"/>
  <sheetViews>
    <sheetView showGridLines="0" workbookViewId="0"/>
  </sheetViews>
  <sheetFormatPr defaultRowHeight="15"/>
  <cols>
    <col min="1" max="1" width="36.7109375" customWidth="1"/>
    <col min="2" max="4" width="19.7109375" customWidth="1"/>
    <col min="5" max="6" width="35.7109375" customWidth="1"/>
  </cols>
  <sheetData>
    <row r="1" spans="1:6" ht="33" customHeight="1">
      <c r="A1" s="1" t="s">
        <v>263</v>
      </c>
      <c r="B1" s="1"/>
      <c r="C1" s="1"/>
      <c r="D1" s="1"/>
      <c r="E1" s="1"/>
      <c r="F1" s="1"/>
    </row>
    <row r="2" spans="1:6" ht="22" customHeight="1">
      <c r="A2" s="2" t="s">
        <v>264</v>
      </c>
      <c r="B2" s="2"/>
      <c r="C2" s="2"/>
      <c r="D2" s="2"/>
      <c r="E2" s="2"/>
      <c r="F2" s="2"/>
    </row>
    <row r="3" spans="1:6" ht="22" customHeight="1">
      <c r="A3" s="2"/>
      <c r="B3" s="2"/>
      <c r="C3" s="2"/>
      <c r="D3" s="2"/>
      <c r="E3" s="2"/>
      <c r="F3" s="2"/>
    </row>
    <row r="5" spans="1:6">
      <c r="A5" s="10" t="s">
        <v>265</v>
      </c>
      <c r="B5" s="10" t="s">
        <v>217</v>
      </c>
      <c r="C5" s="10" t="s">
        <v>216</v>
      </c>
      <c r="D5" s="10" t="s">
        <v>219</v>
      </c>
      <c r="E5" s="10" t="s">
        <v>266</v>
      </c>
    </row>
    <row r="6" spans="1:6" ht="48" customHeight="1">
      <c r="A6" s="4" t="s">
        <v>267</v>
      </c>
      <c r="B6" s="9">
        <v>9</v>
      </c>
      <c r="C6" s="9">
        <v>10</v>
      </c>
      <c r="D6" s="12">
        <f>IF(C6=0,"N/A",B6/C6)</f>
        <v>0.9</v>
      </c>
      <c r="E6" s="4" t="s">
        <v>268</v>
      </c>
    </row>
    <row r="7" spans="1:6" ht="48" customHeight="1">
      <c r="A7" s="4" t="s">
        <v>269</v>
      </c>
      <c r="B7" s="9">
        <v>4</v>
      </c>
      <c r="C7" s="9">
        <v>4</v>
      </c>
      <c r="D7" s="12">
        <f>IF(C7=0,"N/A",B7/C7)</f>
        <v>1.0</v>
      </c>
      <c r="E7" s="4" t="s">
        <v>270</v>
      </c>
    </row>
    <row r="8" spans="1:6" ht="48" customHeight="1">
      <c r="A8" s="4" t="s">
        <v>271</v>
      </c>
      <c r="B8" s="9">
        <v>0</v>
      </c>
      <c r="C8" s="9">
        <v>0</v>
      </c>
      <c r="D8" s="12" t="str">
        <f>IF(C8=0,"N/A",B8/C8)</f>
        <v>N/A</v>
      </c>
      <c r="E8" s="4" t="s">
        <v>272</v>
      </c>
    </row>
    <row r="11" spans="1:6">
      <c r="A11" s="4" t="s">
        <v>273</v>
      </c>
      <c r="B11" s="4"/>
      <c r="C11" s="4"/>
      <c r="D11" s="4"/>
      <c r="E11" s="4"/>
      <c r="F11" s="4"/>
    </row>
    <row r="12" spans="1:6">
      <c r="A12" s="4"/>
      <c r="B12" s="4"/>
      <c r="C12" s="4"/>
      <c r="D12" s="4"/>
      <c r="E12" s="4"/>
      <c r="F12" s="4"/>
    </row>
    <row r="14" spans="1:6">
      <c r="A14" s="4" t="s">
        <v>274</v>
      </c>
      <c r="B14" s="4"/>
      <c r="C14" s="4"/>
      <c r="D14" s="4"/>
      <c r="E14" s="4"/>
      <c r="F14" s="4"/>
    </row>
    <row r="15" spans="1:6">
      <c r="A15" s="4"/>
      <c r="B15" s="4"/>
      <c r="C15" s="4"/>
      <c r="D15" s="4"/>
      <c r="E15" s="4"/>
      <c r="F15" s="4"/>
    </row>
  </sheetData>
  <mergeCells count="4">
    <mergeCell ref="A1:F1"/>
    <mergeCell ref="A2:F3"/>
    <mergeCell ref="A11:F12"/>
    <mergeCell ref="A14:F15"/>
  </mergeCells>
  <pageMargins left="0.7" right="0.7" top="0.75" bottom="0.75" header="0.3" footer="0.3"/>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Start Here</vt:lpstr>
      <vt:lpstr>Dashboard</vt:lpstr>
      <vt:lpstr>Test Cases</vt:lpstr>
      <vt:lpstr>Responses</vt:lpstr>
      <vt:lpstr>Claim Review</vt:lpstr>
      <vt:lpstr>Runbook Reference</vt:lpstr>
      <vt:lpstr>Worked Example</vt:lpstr>
      <vt:lpstr>Dashboard!Print_Area</vt:lpstr>
      <vt:lpstr>'Start Here'!Print_Area</vt:lpstr>
      <vt:lpstr>'Worked Example'!Print_Area</vt:lpstr>
      <vt:lpstr>'Claim Review'!Print_Titles</vt:lpstr>
      <vt:lpstr>Responses!Print_Titles</vt:lpstr>
      <vt:lpstr>'Runbook Reference'!Print_Titles</vt:lpstr>
      <vt:lpstr>'Test Cases'!Print_Titles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Second Responder — Faithfulness Scoring</dc:title>
  <dc:subject>Manual claim-level RAG evaluation</dc:subject>
  <dc:creator>Second Responder</dc:creator>
  <dc:description>Starter tests; no actual chatbot results are pre-scored.</dc:description>
  <cp:lastModifiedBy>Second Responder</cp:lastModifiedBy>
  <dcterms:created xsi:type="dcterms:W3CDTF">2026-10-18T03:02:37Z</dcterms:created>
  <dcterms:modified xsi:type="dcterms:W3CDTF">2026-10-18T03:02:37Z</dcterms:modified>
</cp:coreProperties>
</file>